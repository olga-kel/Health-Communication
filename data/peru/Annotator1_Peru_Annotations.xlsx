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Only" sheetId="1" r:id="rId4"/>
  </sheets>
  <definedNames/>
  <calcPr/>
  <extLst>
    <ext uri="GoogleSheetsCustomDataVersion2">
      <go:sheetsCustomData xmlns:go="http://customooxmlschemas.google.com/" r:id="rId5" roundtripDataChecksum="WwDillXgg0WSVd5d1BmVE88fvTLFA2gut0NsAuD7l60="/>
    </ext>
  </extLst>
</workbook>
</file>

<file path=xl/sharedStrings.xml><?xml version="1.0" encoding="utf-8"?>
<sst xmlns="http://schemas.openxmlformats.org/spreadsheetml/2006/main" count="6853" uniqueCount="1966">
  <si>
    <t>Timestamp</t>
  </si>
  <si>
    <t>Gender</t>
  </si>
  <si>
    <t>Gender_cat</t>
  </si>
  <si>
    <t>Age</t>
  </si>
  <si>
    <t>Age_cat</t>
  </si>
  <si>
    <t>Age_cat_num</t>
  </si>
  <si>
    <t>Profession</t>
  </si>
  <si>
    <t>1.4. Education Level</t>
  </si>
  <si>
    <t>School_cat</t>
  </si>
  <si>
    <t>Spoken.languages</t>
  </si>
  <si>
    <t>Spoken.languages_num</t>
  </si>
  <si>
    <t>Main_lang</t>
  </si>
  <si>
    <t>Main_lang_num</t>
  </si>
  <si>
    <t>1.7. How do you say “my dad calls you” in Quechua?</t>
  </si>
  <si>
    <t>1.8.cUrban_rural</t>
  </si>
  <si>
    <t>1.9. How do you know or get information about Covid-19?(Check all that apply):</t>
  </si>
  <si>
    <t>TV</t>
  </si>
  <si>
    <t>Family</t>
  </si>
  <si>
    <t>Health Centers</t>
  </si>
  <si>
    <t>Central Government</t>
  </si>
  <si>
    <t>Local Government</t>
  </si>
  <si>
    <t>Social Media</t>
  </si>
  <si>
    <t>Internet</t>
  </si>
  <si>
    <t>Friends</t>
  </si>
  <si>
    <t>Community Announcements</t>
  </si>
  <si>
    <t>Radio</t>
  </si>
  <si>
    <t>Everything</t>
  </si>
  <si>
    <t>Others</t>
  </si>
  <si>
    <t>Nothing</t>
  </si>
  <si>
    <t>2.1. How does COVID-19 spread to people?</t>
  </si>
  <si>
    <t>2.1 Normative Answer</t>
  </si>
  <si>
    <t>2.1 Accuracy</t>
  </si>
  <si>
    <t>2.2. Do you think that if a person infected with COVID-19 talks without a mask, they can pass the disease on others?</t>
  </si>
  <si>
    <t>2.2 Accuracy</t>
  </si>
  <si>
    <t>2.3. How much time passes between contact with a sick person and the onset of COVID-19 symptoms?</t>
  </si>
  <si>
    <t>2.3 Normative Answer</t>
  </si>
  <si>
    <t>2.3 Accuracy</t>
  </si>
  <si>
    <t>2.4. What are the common symptoms of COVID-19?</t>
  </si>
  <si>
    <t>2.4 Normative Answer</t>
  </si>
  <si>
    <t>2.4 Accuracy</t>
  </si>
  <si>
    <t>2.5. Is it possible that there are people who DO NOT have symptoms such as: fever, cough, tiredness, shortness of breath, but who DO have COVID-19?</t>
  </si>
  <si>
    <t>2.5 Accuracy</t>
  </si>
  <si>
    <t>2.6. When should medical attention be seeked for a person with a suspected COVID-19?</t>
  </si>
  <si>
    <t>2.6 Normative Answer</t>
  </si>
  <si>
    <t>2.6 Accuracy</t>
  </si>
  <si>
    <t>2.7.1. What protection measures against COVID-19 do you know?</t>
  </si>
  <si>
    <t>2.7.1 Normative Answer</t>
  </si>
  <si>
    <t>2.7.1 Accuracy</t>
  </si>
  <si>
    <t>2.7.2. Do you know of any other measures that are not mentioned in 7.1?</t>
  </si>
  <si>
    <t>2.7.2 Normative Answer</t>
  </si>
  <si>
    <t>2.7.2 Accuracy</t>
  </si>
  <si>
    <t>2.8. When should a mask be worn?</t>
  </si>
  <si>
    <t>2.8 Normative Answer</t>
  </si>
  <si>
    <t>2.8 Accuracy</t>
  </si>
  <si>
    <t>2.9. Which parts of the face should be covered with the mask?</t>
  </si>
  <si>
    <t>2.9 Normative Answer</t>
  </si>
  <si>
    <t>2.9 Accuracy</t>
  </si>
  <si>
    <t>2.10. How do masks help prevent getting sick with COVID-19?</t>
  </si>
  <si>
    <t>2.10 Normative Answer</t>
  </si>
  <si>
    <t>2.10 Accuracy</t>
  </si>
  <si>
    <t>2.11. Is it possible to reuse masks?</t>
  </si>
  <si>
    <t>2.11 Normative Answer</t>
  </si>
  <si>
    <t>2.11 Accuracy</t>
  </si>
  <si>
    <t>2.12. In times of COVID-19, which of these statements is correct?</t>
  </si>
  <si>
    <t>2.12 Normative Answer</t>
  </si>
  <si>
    <t>2.12 Accuracy</t>
  </si>
  <si>
    <t>2.13. What should be the safe distance of separation between people to avoid contagion with COVID-19?</t>
  </si>
  <si>
    <t>2.13 Normative Answer</t>
  </si>
  <si>
    <t>2.13 Accuracy</t>
  </si>
  <si>
    <t>2.14. Which groups of people are at greater risk of being infected with COVID-19?</t>
  </si>
  <si>
    <t>2.14 Normative Accuracy</t>
  </si>
  <si>
    <t>2.14 Accuracy</t>
  </si>
  <si>
    <t>2.16. What is the vaccine against COVID-19?</t>
  </si>
  <si>
    <t>2.16 Normative Answer</t>
  </si>
  <si>
    <t>2.16 Accuracy</t>
  </si>
  <si>
    <t>2.17. Why should people get vaccinated?</t>
  </si>
  <si>
    <t>2.17 Normative Answer</t>
  </si>
  <si>
    <t>2.17 Accuracy</t>
  </si>
  <si>
    <t>2.18. Is there people who don’t want to get vaccinated?</t>
  </si>
  <si>
    <t>2.19. Why do people not want to get vaccinated?</t>
  </si>
  <si>
    <t>2.20. Have you already been vaccinated?</t>
  </si>
  <si>
    <t>2.21. How many doses have you received?</t>
  </si>
  <si>
    <t>2.22. Have you had any discomfort after vaccination? Which one?</t>
  </si>
  <si>
    <t>2.23. Would you recommend that other family members get vaccinated?</t>
  </si>
  <si>
    <t>2.23.1. Do you recommend it or not? Why or why not?</t>
  </si>
  <si>
    <t>right answers</t>
  </si>
  <si>
    <t>female</t>
  </si>
  <si>
    <t>25-34</t>
  </si>
  <si>
    <t>B</t>
  </si>
  <si>
    <t>Health care</t>
  </si>
  <si>
    <t>Higher education</t>
  </si>
  <si>
    <t>indigenous and other languages</t>
  </si>
  <si>
    <t>Spanish</t>
  </si>
  <si>
    <t>rural</t>
  </si>
  <si>
    <t>All</t>
  </si>
  <si>
    <t>COVID-19 is transmitted when an infected person sneezes in front of others and it is inhaled through the nose or mouth.</t>
  </si>
  <si>
    <t>Respiratory droplets/aerosols from infected person's breathing, talking, coughing, or sneezing. Others inhale particles or particles contact eyes/nose/mouth. More likely with close contact and indoors.</t>
  </si>
  <si>
    <t>Yes</t>
  </si>
  <si>
    <t>Symptoms mostly appear 2 – 14 days after contact with the sick person.</t>
  </si>
  <si>
    <t>2-14 days (average 5 days)</t>
  </si>
  <si>
    <t>Fever, cough, chills, headache, general discomfort.</t>
  </si>
  <si>
    <t>Fever/chills, cough, shortness of breath, fatigue, body/muscle aches, headache, loss of taste/smell, sore throat, congestion, nausea/vomiting, diarrhea</t>
  </si>
  <si>
    <t>When there is fever, cough or difficulty breathing.</t>
  </si>
  <si>
    <t>When experiencing emergency warning signs (trouble breathing, persistent chest pain, confusion, inability to wake, bluish lips/face) seek immediate care. For mild symptoms or if at high risk, contact healthcare provider when symptoms begin.</t>
  </si>
  <si>
    <t>Wearing masks, hand hygiene/washing, physical/social distancing, vaccination, improved ventilation, staying home when sick, avoiding crowds</t>
  </si>
  <si>
    <t>No.</t>
  </si>
  <si>
    <t>Improved ventilation, staying home when sick, cleaning/disinfecting surfaces, avoiding crowds, covering coughs/sneezes, isolation when exposed, hand sanitizer (60%+ alcohol), good nutrition/health</t>
  </si>
  <si>
    <t>When going to a public place.</t>
  </si>
  <si>
    <t>Indoors in public spaces, crowded settings, when sick or exposed, when at high risk or around high-risk individuals, in areas with high transmission, on public transport, when unable to physically distance</t>
  </si>
  <si>
    <t>the nose and mouth</t>
  </si>
  <si>
    <t>Nose and mouth (extending from bridge of nose to below chin)</t>
  </si>
  <si>
    <t>Masks help prevent the virus from entering through the nose and mouth.</t>
  </si>
  <si>
    <t>Blocks respiratory droplets/aerosols from infected person (source control) and filters/reduces inhalation of virus particles by wearer (protection). Prevents virus transmission through breathing, talking, coughing, sneezing.</t>
  </si>
  <si>
    <t>It is recommended that simple masks are single-use, but the N95 mask can be used for several days.</t>
  </si>
  <si>
    <t>Depends on type: Cloth masks - yes, must wash after each use. Disposable surgical - single use recommended, but can reuse if clean/undamaged with proper storage. N95/KN95 - can reuse up to 5 times with proper care. Discard if wet, dirty, or damaged.</t>
  </si>
  <si>
    <t>It is necessary to wash your hands for at least 20 seconds, You must wash your hands if you touch your nose or mouth, It is necessary to wash your hands after caring for a sick person, You must wash your hands upon returning home</t>
  </si>
  <si>
    <t>All statements are correct: wash hands for at least 20 seconds, after touching nose/mouth, after caring for sick person, when returning home</t>
  </si>
  <si>
    <t>1.5 meters</t>
  </si>
  <si>
    <t>elderly people, people with diabetes, with high blood pressure, people with chronic lung disease, children, young people</t>
  </si>
  <si>
    <t>Elderly/older adults, people with diabetes, high blood pressure, chronic lung disease, heart conditions, obesity, immunocompromised, chronic kidney disease</t>
  </si>
  <si>
    <t>Pfyser, Psinopharm, Astroxeneca.</t>
  </si>
  <si>
    <t>A biological product that helps the body develop immune protection against SARS-CoV-2 without getting the disease, reducing risk of severe illness, hospitalization, and death</t>
  </si>
  <si>
    <t>It is important to get vaccinated to be protected.</t>
  </si>
  <si>
    <t>Should get vaccinated to: prevent severe illness/hospitalization/death, reduce long COVID risk, protect vulnerable people, safer than natural infection, help control community spread</t>
  </si>
  <si>
    <t>Because they heard or received bad information about the vaccines.</t>
  </si>
  <si>
    <t>Three</t>
  </si>
  <si>
    <t>No, none.</t>
  </si>
  <si>
    <t>I recommend it, because that way we can be protected and avoid more deaths.</t>
  </si>
  <si>
    <t>more than 50</t>
  </si>
  <si>
    <t>D</t>
  </si>
  <si>
    <t>Housewife</t>
  </si>
  <si>
    <t>Second grade of primary school</t>
  </si>
  <si>
    <t>indigenous language</t>
  </si>
  <si>
    <t>Quechua</t>
  </si>
  <si>
    <t>Radio, TV, Relatives</t>
  </si>
  <si>
    <t>By walking in the streets, when traveling, and when crowded.</t>
  </si>
  <si>
    <t>I wouldn’t know, since I don’t really keep up with that.</t>
  </si>
  <si>
    <t>Cough, headache and fever.</t>
  </si>
  <si>
    <t>When a person feels unwell, they should go to the clinic to be attended.</t>
  </si>
  <si>
    <t>Let plants rest in drinks and add lemon; drink every morning.</t>
  </si>
  <si>
    <t>When going shopping or leaving home.</t>
  </si>
  <si>
    <t>Yes, they help by covering us so we don’t get infected with COVID-19.</t>
  </si>
  <si>
    <t>If we must reuse, after about three times we should buy another.</t>
  </si>
  <si>
    <t>people with diabetes, with high blood pressure, children</t>
  </si>
  <si>
    <t>It protects us from diseases.</t>
  </si>
  <si>
    <t>Because it is mandatory and we must get vaccinated.</t>
  </si>
  <si>
    <t>Because they say it’s the mark of the beast.</t>
  </si>
  <si>
    <t>I only had shoulder pain where the vaccine was applied.</t>
  </si>
  <si>
    <t>Yes, to prevent the spread from continuing.</t>
  </si>
  <si>
    <t>male</t>
  </si>
  <si>
    <t>Agriculture</t>
  </si>
  <si>
    <t>Completed secondary school</t>
  </si>
  <si>
    <t>When not wearing a mask and shaking hands with others.</t>
  </si>
  <si>
    <t>Symptoms start after 7 days.</t>
  </si>
  <si>
    <t>Cough, fever and nausea.</t>
  </si>
  <si>
    <t>When they start to feel symptoms, they should go to the medical clinic.</t>
  </si>
  <si>
    <t>I don't know other measures.</t>
  </si>
  <si>
    <t>When approaching people, going to banks, or traveling.</t>
  </si>
  <si>
    <t>Preventing possible contagion.</t>
  </si>
  <si>
    <t>We cannot reuse the same mask.</t>
  </si>
  <si>
    <t>1 meter</t>
  </si>
  <si>
    <t>elderly people, people with diabetes, with high blood pressure, people with chronic lung disease</t>
  </si>
  <si>
    <t>They say it is protection, but I’m not sure.</t>
  </si>
  <si>
    <t>I wouldn’t know how to say, because they say that even with the vaccine, people still get infected.</t>
  </si>
  <si>
    <t>Because they say the vaccine doesn’t help much against the disease.</t>
  </si>
  <si>
    <t>Two</t>
  </si>
  <si>
    <t>I didn’t have any symptoms after receiving the vaccine.</t>
  </si>
  <si>
    <t>No</t>
  </si>
  <si>
    <t>That depends on each of us.</t>
  </si>
  <si>
    <t>35-50</t>
  </si>
  <si>
    <t>C</t>
  </si>
  <si>
    <t>Third grade of primary school</t>
  </si>
  <si>
    <t>Health center, Relatives</t>
  </si>
  <si>
    <t>By getting close to someone who has COVID-19.</t>
  </si>
  <si>
    <t>In 14 days.</t>
  </si>
  <si>
    <t>Body pain, fever, loss of strength and shortness of breath.</t>
  </si>
  <si>
    <t>When there is shortness of breath and heart discomfort, they should go to the clinic.</t>
  </si>
  <si>
    <t>We drank aged urine with lemon, Andrews salts, Nukay and pills.</t>
  </si>
  <si>
    <t>When leaving home and going to cities.</t>
  </si>
  <si>
    <t>They don't help at all.</t>
  </si>
  <si>
    <t>We cannot reuse the mask; we must change it frequently.</t>
  </si>
  <si>
    <t>people with diabetes, with high blood pressure, people with chronic lung disease</t>
  </si>
  <si>
    <t>What could it be? I wouldn't know how to tell you.</t>
  </si>
  <si>
    <t>So they are healthy and don’t get the disease.</t>
  </si>
  <si>
    <t>I had no symptoms.</t>
  </si>
  <si>
    <t>No, because it's each person's decision.</t>
  </si>
  <si>
    <t>Craftsman</t>
  </si>
  <si>
    <t>Radio, Internet</t>
  </si>
  <si>
    <t>When we approach others and gather in meetings.</t>
  </si>
  <si>
    <t>In one week the symptoms of COVID-19 begin.</t>
  </si>
  <si>
    <t>Throat inflammation, cough, headache and fever.</t>
  </si>
  <si>
    <t>When they have a very high fever, they should go to the clinic.</t>
  </si>
  <si>
    <t>We did not let people enter the community or our homes.</t>
  </si>
  <si>
    <t>To avoid infection, when in the streets.</t>
  </si>
  <si>
    <t>They don’t protect us; they actually make breathing harder and worsen us.</t>
  </si>
  <si>
    <t>We cannot reuse masks.</t>
  </si>
  <si>
    <t>I wouldn't know how to tell you.</t>
  </si>
  <si>
    <t>Because it’s mandatory.</t>
  </si>
  <si>
    <t>Because they say it’s the mark of the beast and that the vaccine contains the same disease.</t>
  </si>
  <si>
    <t>One</t>
  </si>
  <si>
    <t>I felt pain and numbness in my arm.</t>
  </si>
  <si>
    <t>No, because that’s for each person to decide.</t>
  </si>
  <si>
    <t>Fourth grade of primary school</t>
  </si>
  <si>
    <t>Transmission occurs between people when they do not keep distance and gather a lot.</t>
  </si>
  <si>
    <t>Symptoms start after 8 days.</t>
  </si>
  <si>
    <t>Headache, throat discomfort and fever.</t>
  </si>
  <si>
    <t>We should not go to the clinic; it is better to treat ourselves with our own medicines.</t>
  </si>
  <si>
    <t>Make syrup with sugar, garlic, onion, lemon, ginger and eucalyptus; take when having flu symptoms.</t>
  </si>
  <si>
    <t>When leaving home, going to plazas and cities.</t>
  </si>
  <si>
    <t>They don’t protect us, rather we get more infected and the illness worsens.</t>
  </si>
  <si>
    <t>We cannot reuse the mask.</t>
  </si>
  <si>
    <t>at least 2 meters</t>
  </si>
  <si>
    <t>The vaccine is prevention, but not very reliable.</t>
  </si>
  <si>
    <t>So they don’t get the disease.</t>
  </si>
  <si>
    <t>Because they say they are injecting us with the disease and we will die soon.</t>
  </si>
  <si>
    <t>I had no symptoms, just a little pain in my right hand.</t>
  </si>
  <si>
    <t>No. It’s each person’s decision.</t>
  </si>
  <si>
    <t>Technical higher education</t>
  </si>
  <si>
    <t>Through breathing and it spreads through the air.</t>
  </si>
  <si>
    <t>They start developing between 10 and 15 days.</t>
  </si>
  <si>
    <t>Dry cough, red eyes that bulge when coughing, and fever.</t>
  </si>
  <si>
    <t>When symptoms worsen and there is severe difficulty breathing.</t>
  </si>
  <si>
    <t>Good nutrition is very important to keep the body protected.</t>
  </si>
  <si>
    <t>When leaving home.</t>
  </si>
  <si>
    <t>They don’t help by covering us, since the virus is in the air and we still get infected.</t>
  </si>
  <si>
    <t>No, because they are infected.</t>
  </si>
  <si>
    <t>None, because the virus is in the air and distancing has no effect.</t>
  </si>
  <si>
    <t>people with chronic lung disease</t>
  </si>
  <si>
    <t>The vaccine is the same viral-type disease that spreads quickly and is put through a cultivation process.</t>
  </si>
  <si>
    <t>As a protective measure.</t>
  </si>
  <si>
    <t>Because they know the vaccine isn’t working and people are dying, and it contains harmful minerals for the body.</t>
  </si>
  <si>
    <t>None</t>
  </si>
  <si>
    <t>None, because they weren’t vaccinated.</t>
  </si>
  <si>
    <t>No, because it’s not appropriate, and it hasn’t gone through the full cultivation process that’s required. Also, because we are third-world countries, and powerful nations want to control us.</t>
  </si>
  <si>
    <t>By walking in the streets and having conversations we contract the disease.</t>
  </si>
  <si>
    <t>After 5 or 6 days a person starts to feel the symptoms.</t>
  </si>
  <si>
    <t>Cold, itchy throat, body pain, shortness of breath, headache and fever.</t>
  </si>
  <si>
    <t>When there is shortness of breath or throat pain, they should seek medical care.</t>
  </si>
  <si>
    <t>Drink eucalyptus, pine, and muña water.</t>
  </si>
  <si>
    <t>When leaving home or going somewhere to prevent illness.</t>
  </si>
  <si>
    <t>So as not to get infected, since the illness is airborne.</t>
  </si>
  <si>
    <t>It is not possible to reuse; we must change it and keep it clean.</t>
  </si>
  <si>
    <t>The vaccine is the same disease, that’s why it protects us.</t>
  </si>
  <si>
    <t>Because the government bought it and also to protect us.</t>
  </si>
  <si>
    <t>They don’t want to; the vaccine affects us, and over time we’ll experience side effects because it’s the same disease they’re injecting.</t>
  </si>
  <si>
    <t>I felt arm pain and couldn’t do my work.</t>
  </si>
  <si>
    <t>No, it’s the decision of each of us.</t>
  </si>
  <si>
    <t>Through the air.</t>
  </si>
  <si>
    <t>In one month the symptoms begin.</t>
  </si>
  <si>
    <t>I wouldn’t know.</t>
  </si>
  <si>
    <t>When we feel unwell.</t>
  </si>
  <si>
    <t>Drink herbs for the flu.</t>
  </si>
  <si>
    <t>To avoid contracting the disease.</t>
  </si>
  <si>
    <t>Yes, we can reuse.</t>
  </si>
  <si>
    <t>I wouldn’t know, I’m not informed.</t>
  </si>
  <si>
    <t>To protect us from COVID.</t>
  </si>
  <si>
    <t>I don’t know why.</t>
  </si>
  <si>
    <t>My arm just hurt.</t>
  </si>
  <si>
    <t>Yes, so people can protect themselves.</t>
  </si>
  <si>
    <t>Completed primary school</t>
  </si>
  <si>
    <t>Radio, TV, Friends, Relatives</t>
  </si>
  <si>
    <t>Through breathing and during conversation.</t>
  </si>
  <si>
    <t>After 1 or 2 days symptoms start.</t>
  </si>
  <si>
    <t>Fever, headache and body pain.</t>
  </si>
  <si>
    <t>When they are unwell and have fever.</t>
  </si>
  <si>
    <t>Herbal tea like eucalyptus and others, drink daily.</t>
  </si>
  <si>
    <t>When leaving home and going to the city.</t>
  </si>
  <si>
    <t>Yes, they protect us from getting infected.</t>
  </si>
  <si>
    <t>No, we must always change the mask.</t>
  </si>
  <si>
    <t>So they are healthy and protect themselves.</t>
  </si>
  <si>
    <t>Because they say the vaccine makes people disabled.</t>
  </si>
  <si>
    <t>I had no discomfort.</t>
  </si>
  <si>
    <t>No, because I could have problems, since many say the vaccine harms us.</t>
  </si>
  <si>
    <t>Fourth grade of secondary school</t>
  </si>
  <si>
    <t>This disease came through the air, that's how we get infected.</t>
  </si>
  <si>
    <t>Symptoms appear in two weeks.</t>
  </si>
  <si>
    <t>Fever and many different symptoms.</t>
  </si>
  <si>
    <t>When we start to feel symptoms like headache, fever, and nausea, we should go to the clinic.</t>
  </si>
  <si>
    <t>I don't know other protective measures.</t>
  </si>
  <si>
    <t>When attending meetings, always wear a mask.</t>
  </si>
  <si>
    <t>They don’t help because many people got infected despite wearing masks.</t>
  </si>
  <si>
    <t>No, we cannot reuse; we must always change the mask.</t>
  </si>
  <si>
    <t>The vaccine is protection against COVID-19.</t>
  </si>
  <si>
    <t>Because everyone is getting the vaccine in general.</t>
  </si>
  <si>
    <t>I wouldn’t know, but everyone decides for themselves why they don’t want it.</t>
  </si>
  <si>
    <t>I didn’t feel any discomfort after receiving the vaccine.</t>
  </si>
  <si>
    <t>It’s up to each individual.</t>
  </si>
  <si>
    <t>Transportation</t>
  </si>
  <si>
    <t>Through breathing and when talking between people.</t>
  </si>
  <si>
    <t>In 4 to 5 days.</t>
  </si>
  <si>
    <t>Headache, nausea and sore throat.</t>
  </si>
  <si>
    <t>When presenting the previously mentioned symptoms.</t>
  </si>
  <si>
    <t>Wear a mask, wash hands frequently</t>
  </si>
  <si>
    <t>Prepared cane alcohol with herbs like muña and eucalyptus.</t>
  </si>
  <si>
    <t>Where there are infections and many people.</t>
  </si>
  <si>
    <t>They protect us from COVID.</t>
  </si>
  <si>
    <t>No, we cannot reuse.</t>
  </si>
  <si>
    <t>elderly people</t>
  </si>
  <si>
    <t>It is prevention.</t>
  </si>
  <si>
    <t>So they prevent the disease.</t>
  </si>
  <si>
    <t>Because they say the mark of the beast is coming through the vaccine.</t>
  </si>
  <si>
    <t>Yes, so they can prevent disease.</t>
  </si>
  <si>
    <t>Radio, Relatives</t>
  </si>
  <si>
    <t>Through breathing.</t>
  </si>
  <si>
    <t>After three days you already start to feel COVID-19 symptoms.</t>
  </si>
  <si>
    <t>Headache, cold and cough.</t>
  </si>
  <si>
    <t>When we have fever and headache, we should seek medical care.</t>
  </si>
  <si>
    <t>Natural syrup with toasted matico and sugar, consume often.</t>
  </si>
  <si>
    <t>When at a meeting, traveling, or with many people.</t>
  </si>
  <si>
    <t>They don’t protect; rather we get lung diseases from our own breathing.</t>
  </si>
  <si>
    <t>No, we must always change.</t>
  </si>
  <si>
    <t>elderly people, people with diabetes, with high blood pressure, people with chronic lung disease, children</t>
  </si>
  <si>
    <t>It is prevention of the disease.</t>
  </si>
  <si>
    <t>So they can protect themselves from COVID-19.</t>
  </si>
  <si>
    <t>They think elderly people died because of the vaccine; also, they’re ending up paralyzed, and it’s the mark of the beast.</t>
  </si>
  <si>
    <t>Yes, after the first dose I had a lot of arm pain.</t>
  </si>
  <si>
    <t>Yes, because it's mandatory to receive attention in various institutions, and also because they say it's a form of government support.</t>
  </si>
  <si>
    <t>non-indigenous language</t>
  </si>
  <si>
    <t>TV, Internet</t>
  </si>
  <si>
    <t>They got infected by going out into the streets.</t>
  </si>
  <si>
    <t>Symptoms begin between 2 to 3 days.</t>
  </si>
  <si>
    <t>When they have very high fever and whole-body pain, they should seek medical care.</t>
  </si>
  <si>
    <t>I don't know another measure.</t>
  </si>
  <si>
    <t>When with several people or leaving home.</t>
  </si>
  <si>
    <t>They don’t help since there are still infections.</t>
  </si>
  <si>
    <t>It is protection.</t>
  </si>
  <si>
    <t>So they protect themselves and also because it’s mandatory—also, only with the vaccine can we enter schools, banks, and other institutions.</t>
  </si>
  <si>
    <t>I don’t know why they don’t want the dose, but there are people who don’t.</t>
  </si>
  <si>
    <t>I only had a headache with the second dose.</t>
  </si>
  <si>
    <t>Yes, so they protect themselves and don’t get sick.</t>
  </si>
  <si>
    <t>It spreads when we talk to people, through breathing.</t>
  </si>
  <si>
    <t>After 14 days people start to feel the symptoms of this disease.</t>
  </si>
  <si>
    <t>Fever, sore throat, headache, chest pain and back pain.</t>
  </si>
  <si>
    <t>When they feel COVID-19 symptoms, like fever and shortness of breath, they should go to the hospital.</t>
  </si>
  <si>
    <t>Drink herbs, garlic, lemon, eucalyptus, matico, urine with garlic and ginger.</t>
  </si>
  <si>
    <t>Every time when going out, to the market and store.</t>
  </si>
  <si>
    <t>They keep microbes from contacting the nose and mouth.</t>
  </si>
  <si>
    <t>If it is possible, it must be washed well and disinfected with bleach.</t>
  </si>
  <si>
    <t>The vaccine is prevention, so that we don’t get infected.</t>
  </si>
  <si>
    <t>To take care of their health, not get sick, and not die.</t>
  </si>
  <si>
    <t>Because they say the vaccines come with chips and that’s a lie; some avoid it because of pain from side effects.</t>
  </si>
  <si>
    <t>Yes, because it's to prevent illness and keep them healthy.</t>
  </si>
  <si>
    <t>No studies</t>
  </si>
  <si>
    <t>Relatives</t>
  </si>
  <si>
    <t>People coming from far away bring this disease and it spreads when talking.</t>
  </si>
  <si>
    <t>After one week we start to feel the symptoms.</t>
  </si>
  <si>
    <t>Fever, sore throat, chest pain, headache.</t>
  </si>
  <si>
    <t>When we start to have fever and body pain, we should go to the clinic.</t>
  </si>
  <si>
    <t>Homemade syrup with honey, sugar, eucalyptus, muña, onion, garlic and cane alcohol.</t>
  </si>
  <si>
    <t>To go to the plaza or store.</t>
  </si>
  <si>
    <t>They don’t protect; the disease stays on them and spreads more.</t>
  </si>
  <si>
    <t>We cannot reuse them ourselves because we could get even sicker.</t>
  </si>
  <si>
    <t>It helps us prevent COVID-19.</t>
  </si>
  <si>
    <t>Because they say it’s the mark of the beast that comes through the vaccine. They also say it’s the same disease.</t>
  </si>
  <si>
    <t>With the second dose, my hand swelled.</t>
  </si>
  <si>
    <t>Yes, to prevent COVID-19 and stay healthy.</t>
  </si>
  <si>
    <t>Through our breathing and when having a conversation.</t>
  </si>
  <si>
    <t>Cough, fever, shortness of breath, food doesn’t taste the same and loss of appetite.</t>
  </si>
  <si>
    <t>When they start to feel unwell, they should seek medical help.</t>
  </si>
  <si>
    <t>Homemade syrup with honey, garlic, onion, lemon and black mashua; blend and drink 3 times a week.</t>
  </si>
  <si>
    <t>When leaving home to prevent infection.</t>
  </si>
  <si>
    <t>They protect a little; they don’t let us breathe well but protect from possible contagion.</t>
  </si>
  <si>
    <t>We cannot reuse them ourselves.</t>
  </si>
  <si>
    <t>elderly people, people with diabetes, with high blood pressure</t>
  </si>
  <si>
    <t>The vaccine is a prevention.</t>
  </si>
  <si>
    <t>So they no longer have a fever or COVID-19.</t>
  </si>
  <si>
    <t>Because they say it’s just prevention and can also cause death.</t>
  </si>
  <si>
    <t>Didn’t receive vaccine.</t>
  </si>
  <si>
    <t>Yes, to prevent COVID-19 and remain immune to diseases.</t>
  </si>
  <si>
    <t>Transmission happens like the flu.</t>
  </si>
  <si>
    <t>They say symptoms include: sore throat, headache, hand numbness.</t>
  </si>
  <si>
    <t>If we feel body pain (similar to the symptoms), we should seek help.</t>
  </si>
  <si>
    <t>Drink ginger tea to prevent COVID-19.</t>
  </si>
  <si>
    <t>Only when leaving home.</t>
  </si>
  <si>
    <t>Protecting us so we don’t get infected.</t>
  </si>
  <si>
    <t>It is protection against COVID.</t>
  </si>
  <si>
    <t>So it defends us from that disease.</t>
  </si>
  <si>
    <t>Because they are afraid something will happen to them, but nearly everyone is getting vaccinated.</t>
  </si>
  <si>
    <t>I didn’t feel any discomfort, just that I pressed on the spot where I got the shot and it hurt a bit.</t>
  </si>
  <si>
    <t>Yes, to prevent the disease.</t>
  </si>
  <si>
    <t>Radio, TV</t>
  </si>
  <si>
    <t>By walking and through our breathing.</t>
  </si>
  <si>
    <t>Three days are mentioned.</t>
  </si>
  <si>
    <t>Headache, sore throat, back pain and bone pain.</t>
  </si>
  <si>
    <t>When we have headache, bone pain, no energy and no appetite.</t>
  </si>
  <si>
    <t>Drink hot crystal water, paracetamol and pills, also matico, eucalyptus with lemon and boiled ginger.</t>
  </si>
  <si>
    <t>When leaving home, going to the market to shop.</t>
  </si>
  <si>
    <t>They don’t help, they are pointless and cause facial discomfort.</t>
  </si>
  <si>
    <t>No, we must change it constantly.</t>
  </si>
  <si>
    <t>It protects us from the disease.</t>
  </si>
  <si>
    <t>So they can travel, go to the bank, and protect themselves from the disease.</t>
  </si>
  <si>
    <t>I only had and still have shoulder pain.</t>
  </si>
  <si>
    <t>Yes, because it helps us prevent the illness.</t>
  </si>
  <si>
    <t>less than 25</t>
  </si>
  <si>
    <t>A</t>
  </si>
  <si>
    <t>Fifth grade of secondary school</t>
  </si>
  <si>
    <t>Through physical contact, when we don't wash hands and don't wear masks.</t>
  </si>
  <si>
    <t>Fever, headache, sore throat.</t>
  </si>
  <si>
    <t>When they are already sick and have cough and fever.</t>
  </si>
  <si>
    <t>Maintain distance to avoid contagion.</t>
  </si>
  <si>
    <t>When leaving home or going somewhere.</t>
  </si>
  <si>
    <t>Preventing contagion.</t>
  </si>
  <si>
    <t>elderly people, children</t>
  </si>
  <si>
    <t>It is protection from COVID-19.</t>
  </si>
  <si>
    <t>So we don’t get infected with COVID-19.</t>
  </si>
  <si>
    <t>Because they say it’s being used to make us sick, and it’s the mark of the beast.</t>
  </si>
  <si>
    <t>I had a fever, chills, and body aches.</t>
  </si>
  <si>
    <t>So they don’t get infected and can access any public entity.</t>
  </si>
  <si>
    <t>The disease is like a flu, it spreads when we have contact with people.</t>
  </si>
  <si>
    <t>After 15 days people start to feel symptoms.</t>
  </si>
  <si>
    <t>Flu, sore throat and fever.</t>
  </si>
  <si>
    <t>When we have sore throat, even if not worsening yet, we should go to the clinic.</t>
  </si>
  <si>
    <t>Don't let anyone enter the town, drink eucalyptus tea and wash hands with liquid soap.</t>
  </si>
  <si>
    <t>When traveling to other places and leaving home.</t>
  </si>
  <si>
    <t>Masks don’t help to avoid the illness.</t>
  </si>
  <si>
    <t>We must change the mask frequently.</t>
  </si>
  <si>
    <t>The vaccine is prevention to take care of ourselves.</t>
  </si>
  <si>
    <t>To prevent the disease and take care of ourselves—also, only vaccinated people can access any place.</t>
  </si>
  <si>
    <t>Because they heard in the news that the vaccinated will die.</t>
  </si>
  <si>
    <t>I was affected for two days because I took a shower—I had a fever and heat in the soles of my feet.</t>
  </si>
  <si>
    <t>Yes, because it’s necessary to take care of ourselves—the disease respects no one.</t>
  </si>
  <si>
    <t>When we have a conversation with others.</t>
  </si>
  <si>
    <t>After 14 days they appear.</t>
  </si>
  <si>
    <t>Fever, chills, headache.</t>
  </si>
  <si>
    <t>When symptoms become stronger and we feel our body is weakening.</t>
  </si>
  <si>
    <t>Drink urine with lemon to prevent disease.</t>
  </si>
  <si>
    <t>When with several people.</t>
  </si>
  <si>
    <t>They don’t help because we breathe normally through them.</t>
  </si>
  <si>
    <t>No, we must change it frequently.</t>
  </si>
  <si>
    <t>It is only prevention against COVID-19.</t>
  </si>
  <si>
    <t>So they protect themselves from COVID-19.</t>
  </si>
  <si>
    <t>Because they say the vaccine contains diseases.</t>
  </si>
  <si>
    <t>Yes, only my arm hurt.</t>
  </si>
  <si>
    <t>No, it’s their decision.</t>
  </si>
  <si>
    <t>Did not study</t>
  </si>
  <si>
    <t>When a person has COVID-19, they start to infect everyone by talking and meeting.</t>
  </si>
  <si>
    <t>After 15 days they show symptoms.</t>
  </si>
  <si>
    <t>Fever, body pain, sore throat.</t>
  </si>
  <si>
    <t>When we are sick with fever and sore throat.</t>
  </si>
  <si>
    <t>I don't know any other measure.</t>
  </si>
  <si>
    <t>When leaving home and going to the street.</t>
  </si>
  <si>
    <t>They help prevent COVID-19 infection.</t>
  </si>
  <si>
    <t>No, we can only use it twice.</t>
  </si>
  <si>
    <t>It is protection against COVID-19.</t>
  </si>
  <si>
    <t>So they don’t get infected with the disease.</t>
  </si>
  <si>
    <t>Because they say it’s designed to kill people.</t>
  </si>
  <si>
    <t>I only had shoulder pain; no other symptoms.</t>
  </si>
  <si>
    <t>Yes, because it’s good for them to protect themselves and not get that disease.</t>
  </si>
  <si>
    <t>First grade of primary school</t>
  </si>
  <si>
    <t>Through our breathing.</t>
  </si>
  <si>
    <t>Symptoms of COVID-19 start after 15 days.</t>
  </si>
  <si>
    <t>Headache, sore throat, fever and cough.</t>
  </si>
  <si>
    <t>When people feel symptoms, they should go to the medical clinic.</t>
  </si>
  <si>
    <t>To prevent COVID-19, drink eucalyptus tea with lemon, gargle with salt water.</t>
  </si>
  <si>
    <t>When attending a meeting and when leaving home.</t>
  </si>
  <si>
    <t>They help us avoid infection; that’s why we should use double masks.</t>
  </si>
  <si>
    <t>Yes, we must reuse the mask when we leave the house.</t>
  </si>
  <si>
    <t>It is necessary to wash your hands for at least 20 seconds</t>
  </si>
  <si>
    <t>It helps us prevent the disease.</t>
  </si>
  <si>
    <t>Because they say the hand goes numb and you start to get sick.</t>
  </si>
  <si>
    <t>I had no symptoms after receiving the vaccine.</t>
  </si>
  <si>
    <t>Between people when talking, communicating, and having contact.</t>
  </si>
  <si>
    <t>I don’t know, I hear about it but don’t understand what they mean.</t>
  </si>
  <si>
    <t>When we feel pain, we should seek help in the hospital.</t>
  </si>
  <si>
    <t>To avoid the disease, we drank coca tea, red nettle, burned cane with herbs daily.</t>
  </si>
  <si>
    <t>You must wash your hands if you touch your nose or mouth</t>
  </si>
  <si>
    <t>It protects us from the flu and diseases.</t>
  </si>
  <si>
    <t>So as not to get infected with COVID-19.</t>
  </si>
  <si>
    <t>Because they say the vaccine makes us sicker.</t>
  </si>
  <si>
    <t>I had no symptoms after receiving the vaccine, just pain where the dose was applied.</t>
  </si>
  <si>
    <t>Yes, because it’s good to protect us from the diseases we face.</t>
  </si>
  <si>
    <t>When we talk very close to others.</t>
  </si>
  <si>
    <t>After 15 days the disease hits harder.</t>
  </si>
  <si>
    <t>Sore throat, headache, bone pain, fever and general body discomfort.</t>
  </si>
  <si>
    <t>When we feel the symptoms more strongly.</t>
  </si>
  <si>
    <t>Bathe with herbs like eucalyptus and muña to sleep.</t>
  </si>
  <si>
    <t>When leaving home to avoid infecting others.</t>
  </si>
  <si>
    <t>Helping us not to get infected with COVID-19.</t>
  </si>
  <si>
    <t>No, we cannot reuse it; we must always change it.</t>
  </si>
  <si>
    <t>It is protection from the virus and makes the illness lessen.</t>
  </si>
  <si>
    <t>To stay healthy, alive, and to avoid infecting others.</t>
  </si>
  <si>
    <t>Because young people see a lot of false information on the internet and pass it on to their parents, and some say it’s the mark of the beast.</t>
  </si>
  <si>
    <t>Yes, I felt discomfort where the vaccine was applied for about a week.</t>
  </si>
  <si>
    <t>Yes, because it’s good for preventing disease.</t>
  </si>
  <si>
    <t>When not taking care and walking without a mask.</t>
  </si>
  <si>
    <t>One to two weeks.</t>
  </si>
  <si>
    <t>Sore throat, shortness of breath and difficulty breathing.</t>
  </si>
  <si>
    <t>When the illness worsens and we can’t treat it anymore.</t>
  </si>
  <si>
    <t>We toasted garlic and ginger, mixed with cane or alcohol to prevent disease.</t>
  </si>
  <si>
    <t>When leaving home and if there's someone at home too.</t>
  </si>
  <si>
    <t>They help us avoid COVID.</t>
  </si>
  <si>
    <t>We should not reuse the mask; we must change it constantly.</t>
  </si>
  <si>
    <t>elderly people, people with diabetes, with high blood pressure, people with chronic lung disease, young people</t>
  </si>
  <si>
    <t>It is the counter to COVID-19; it helps us get cured.</t>
  </si>
  <si>
    <t>So they take care of themselves from COVID-19.</t>
  </si>
  <si>
    <t>Because they say they’re injecting the vaccine so we die in two or three years.</t>
  </si>
  <si>
    <t>My hand hurt where they gave me the shot—I couldn’t move it.</t>
  </si>
  <si>
    <t>Yes, because it’s good to take care of ourselves and protect ourselves from death.</t>
  </si>
  <si>
    <t>Second transition</t>
  </si>
  <si>
    <t>Through the air, by not using a mask.</t>
  </si>
  <si>
    <t>Symptoms start appearing after three days.</t>
  </si>
  <si>
    <t>With fever symptoms, it is possible we have the illness.</t>
  </si>
  <si>
    <t>When we notice our body isn’t well, we should seek medical attention.</t>
  </si>
  <si>
    <t>Drink matured urine, Andrews salts.</t>
  </si>
  <si>
    <t>When leaving home to avoid a fine.</t>
  </si>
  <si>
    <t>No, they are not safe.</t>
  </si>
  <si>
    <t>We cannot reuse the mask; we could get sicker.</t>
  </si>
  <si>
    <t>It is prevention; when one is vaccinated, we no longer get sick.</t>
  </si>
  <si>
    <t>To prevent the disease.</t>
  </si>
  <si>
    <t>Because it makes us sicker and it’s very bad for us.</t>
  </si>
  <si>
    <t>I didn’t have any discomfort, only slight arm pain when I exerted myself.</t>
  </si>
  <si>
    <t>I can’t say anything.</t>
  </si>
  <si>
    <t>We get infected by talking and also by the same air.</t>
  </si>
  <si>
    <t>After 5 minutes with that disease we can’t be well even for a day.</t>
  </si>
  <si>
    <t>Headache, sore throat, back pain.</t>
  </si>
  <si>
    <t>When presenting symptoms like cough and fever, we should seek medical attention.</t>
  </si>
  <si>
    <t>Make syrup with toasted sugar, lemon, garlic and ginger; also bathe with eucalyptus water.</t>
  </si>
  <si>
    <t>Homemade syrup: boil red salt, eucalyptus, muña, take twice a week.</t>
  </si>
  <si>
    <t>Masks don’t help, it’s impossible that they do.</t>
  </si>
  <si>
    <t>We should not reuse the mask because our breath stays in it, and that could cause an illness.</t>
  </si>
  <si>
    <t>It helps protect us from COVID-19.</t>
  </si>
  <si>
    <t>We all must get the vaccine because it is mandatory.</t>
  </si>
  <si>
    <t>Because they say the vaccine will bring death within 2 or 3 years.</t>
  </si>
  <si>
    <t>I almost died from the first vaccine.</t>
  </si>
  <si>
    <t>No, that depends on each person.</t>
  </si>
  <si>
    <t>Central government, Local government (regional, municipal, etc.), TV</t>
  </si>
  <si>
    <t>When gathering among people because some may have illnesses and do not wear a mask.</t>
  </si>
  <si>
    <t>After 8 days we already start to feel the symptoms.</t>
  </si>
  <si>
    <t>Headache, fever, sore throat and bone pain.</t>
  </si>
  <si>
    <t>When we start to feel headache, fever, and throat tingling, we should go to the clinic.</t>
  </si>
  <si>
    <t>Drink garlic, ginger, crushed onion fermented in cane alcohol; take paracetamol, antalgina and home remedies.</t>
  </si>
  <si>
    <t>Masks don’t help, rather we get sick and our own breathing worsens us.</t>
  </si>
  <si>
    <t>We should not use the same mask; we must change daily.</t>
  </si>
  <si>
    <t>It is necessary to wash your hands for at least 20 seconds, You must wash your hands if you touch your nose or mouth</t>
  </si>
  <si>
    <t>It is dangerous to our health, many say it harms us, that’s why I only got one vaccine.</t>
  </si>
  <si>
    <t>So we don’t get infected with the disease.</t>
  </si>
  <si>
    <t>Because they say they are injecting the same disease.</t>
  </si>
  <si>
    <t>No, because it depends on each person.</t>
  </si>
  <si>
    <t>When talking, through breathing, not washing hands, eating with dirty hands, and not being well nourished.</t>
  </si>
  <si>
    <t>After 8 to 10 days.</t>
  </si>
  <si>
    <t>Headache, fever, body pain, red eyes, body weakness and loss of appetite.</t>
  </si>
  <si>
    <t>When we have strong fever and shortness of breath.</t>
  </si>
  <si>
    <t>Bathe with all kinds of plants and also drink herbal teas.</t>
  </si>
  <si>
    <t>When leaving home or having contact with others because it’s required by authorities.</t>
  </si>
  <si>
    <t>They don’t help or protect; it's just to comply with the law.</t>
  </si>
  <si>
    <t>No, we must change it because our breath stays in it.</t>
  </si>
  <si>
    <t>It is the same disease; it doesn’t protect us from anything, and if one is ill, they could die.</t>
  </si>
  <si>
    <t>People shouldn’t get vaccinated—those who didn’t will live, and those who did will die.</t>
  </si>
  <si>
    <t>Because they know the harms of the vaccine, and it’s made by humans and not God’s work.</t>
  </si>
  <si>
    <t>Didn’t get vaccinated.</t>
  </si>
  <si>
    <t>No, it’s each individual’s decision.</t>
  </si>
  <si>
    <t>By walking and having contact with others.</t>
  </si>
  <si>
    <t>Symptoms appear after 15 days.</t>
  </si>
  <si>
    <t>Headache and fever.</t>
  </si>
  <si>
    <t>When we start to notice changes in our body.</t>
  </si>
  <si>
    <t>All, Others</t>
  </si>
  <si>
    <t>Home remedy with garlic, eucalyptus, ginger and lemon to drink.</t>
  </si>
  <si>
    <t>When leaving home, being apart from family, and when traveling.</t>
  </si>
  <si>
    <t>Masks don’t help since our breath passes through them.</t>
  </si>
  <si>
    <t>We should not reuse the same mask because we can get infected.</t>
  </si>
  <si>
    <t>The vaccine is to protect us.</t>
  </si>
  <si>
    <t>So as not to get the disease.</t>
  </si>
  <si>
    <t>Because they say the vaccine will make us infertile and sick.</t>
  </si>
  <si>
    <t>No, because it affects some people badly.</t>
  </si>
  <si>
    <t>Third grade of secondary school</t>
  </si>
  <si>
    <t>When not isolated from people, not taking preventive medicine, and it is transmitted among people.</t>
  </si>
  <si>
    <t>In 8 days symptoms already start.</t>
  </si>
  <si>
    <t>Flu, chills and noticing changes in your body.</t>
  </si>
  <si>
    <t>When we have strong symptoms, we should go to the medical clinic.</t>
  </si>
  <si>
    <t>Get vaccinated</t>
  </si>
  <si>
    <t>Boil ginger, eucalyptus, garlic, toast sugar and honey, drink.</t>
  </si>
  <si>
    <t>When going to the market, meetings, or traveling.</t>
  </si>
  <si>
    <t>They don’t help at all.</t>
  </si>
  <si>
    <t>We cannot reuse the mask; the minimum use should be 2 days.</t>
  </si>
  <si>
    <t>It is necessary to wash your hands for at least 20 seconds, It is necessary to wash your hands after caring for a sick person, You must wash your hands upon returning home</t>
  </si>
  <si>
    <t>It is prevention, not a cure.</t>
  </si>
  <si>
    <t>To have defense in our body, although it only lasts 3 months depending on each person’s nutrition.</t>
  </si>
  <si>
    <t>Because they say the vaccine leads to death.</t>
  </si>
  <si>
    <t>With the third dose, I was affected—I started to tremble.</t>
  </si>
  <si>
    <t>Yes, because it helps prevent disease.</t>
  </si>
  <si>
    <t>Health center, Radio, Internet</t>
  </si>
  <si>
    <t>I am not informed about it, I only hear about possible infections.</t>
  </si>
  <si>
    <t>I don’t know, but they say you feel symptoms for a month or a month and a half.</t>
  </si>
  <si>
    <t>Headache, fever and back pain.</t>
  </si>
  <si>
    <t>When we have fever, flu and headache.</t>
  </si>
  <si>
    <t>Homemade syrup with garlic and macerated urine (advice received).</t>
  </si>
  <si>
    <t>When leaving home, having contact with others.</t>
  </si>
  <si>
    <t>Yes, they help protect us from the illness so we don’t get infected.</t>
  </si>
  <si>
    <t>We can use it for 2 to 3 days and then wash it well to use it again, because the disease may stay on the mask.</t>
  </si>
  <si>
    <t>It is necessary to wash your hands for at least 20 seconds, You must wash your hands if you touch your nose or mouth, You must wash your hands upon returning home</t>
  </si>
  <si>
    <t>It is prevention against the disease.</t>
  </si>
  <si>
    <t>Because they say many people have died from the vaccine and they don’t believe in the disease.</t>
  </si>
  <si>
    <t>I didn’t feel any discomfort, just that I pressed on the injection site and it hurt a bit.</t>
  </si>
  <si>
    <t>Yes, because it helps us protect ourselves from illness.</t>
  </si>
  <si>
    <t>Transition</t>
  </si>
  <si>
    <t>Friends, Relatives</t>
  </si>
  <si>
    <t>Like the flu infects us.</t>
  </si>
  <si>
    <t>After 15 days.</t>
  </si>
  <si>
    <t>Headache, fever, throat closing, back pain, shortness of breath.</t>
  </si>
  <si>
    <t>When having symptoms, go to the clinic for a COVID test and if positive, do quarantine to avoid spreading.</t>
  </si>
  <si>
    <t>At the start of the pandemic, we avoided vehicles entering, disinfected shoes with bleach, took eucalyptus infusion.</t>
  </si>
  <si>
    <t>To go to the city and on the roads.</t>
  </si>
  <si>
    <t>Yes, they protect and prevent.</t>
  </si>
  <si>
    <t>No, it must be changed constantly.</t>
  </si>
  <si>
    <t>It is something to protect and prevent us from COVID.</t>
  </si>
  <si>
    <t>So the COVID disease doesn’t spread.</t>
  </si>
  <si>
    <t>Because they believe it’s the mark of the beast.</t>
  </si>
  <si>
    <t>The first dose hit me hard because I was working in the heat that day—my arm was swollen the next day.</t>
  </si>
  <si>
    <t>Because it’s good for prevention, and I always encourage them to get vaccinated to prevent the spread of disease.</t>
  </si>
  <si>
    <t>Secondary school</t>
  </si>
  <si>
    <t>Health center, Internet, Others</t>
  </si>
  <si>
    <t>People from other places spread the disease when returning to their towns, we can get infected when talking or contacting them.</t>
  </si>
  <si>
    <t>Approximately 15 days.</t>
  </si>
  <si>
    <t>Depending on antibodies, people have symptoms like shortness of breath, headache, body weakness.</t>
  </si>
  <si>
    <t>When we have discomfort, we should go to the health center for a COVID test.</t>
  </si>
  <si>
    <t>Set roadblocks to prevent strangers; prepared syrup with burned cane, eucalyptus and ginger, drank occasionally.</t>
  </si>
  <si>
    <t>To avoid infection and when leaving home.</t>
  </si>
  <si>
    <t>I don’t think they protect alone if we don’t practice other preventive measures.</t>
  </si>
  <si>
    <t>We cannot use the same mask because it is already contaminated and can infect us.</t>
  </si>
  <si>
    <t>It is a prevention that came for us to protect ourselves.</t>
  </si>
  <si>
    <t>To avoid being affected by the disease.</t>
  </si>
  <si>
    <t>They believe the vaccine is a lie and harms our bodies. They believe it’s the mark of the beast.</t>
  </si>
  <si>
    <t>No discomfort, even though I kept working normally.</t>
  </si>
  <si>
    <t>It’s each person’s responsibility and decision.</t>
  </si>
  <si>
    <t>Central government, Local government (regional, municipal, etc.), TV, Others</t>
  </si>
  <si>
    <t>It spread and arrived because city people came and brought the disease, and we got infected talking (greetings) with them.</t>
  </si>
  <si>
    <t>According to comments it could be in 48 hours, they also say in 15 days or 1 week; in reality, the exact time isn’t known.</t>
  </si>
  <si>
    <t>They say shortness of breath, chest and head pain, fever.</t>
  </si>
  <si>
    <t>When having symptoms, to get a COVID test, to take care or rule out infection.</t>
  </si>
  <si>
    <t>Drank eucalyptus, muña tea and cane alcohol once a week.</t>
  </si>
  <si>
    <t>To avoid infecting others when you have COVID and to avoid getting infected.</t>
  </si>
  <si>
    <t>Honestly, I don’t know if they protect or not.</t>
  </si>
  <si>
    <t>No, we must reuse it; it’s a recommendation from the health staff.</t>
  </si>
  <si>
    <t>I don’t know exactly, I got vaccinated out of obligation.</t>
  </si>
  <si>
    <t>Because it’s mandatory and to protect ourselves against the disease.</t>
  </si>
  <si>
    <t>Due to religious beliefs—some think it’s the seal of the Antichrist and that it worsens our health.</t>
  </si>
  <si>
    <t>With the third dose, I had arm pain and numbness.</t>
  </si>
  <si>
    <t>I wouldn’t say—it’s each person’s choice.</t>
  </si>
  <si>
    <t>Social media (Facebook, Twitter, Messenger, Telegram, WhatsApp), Internet</t>
  </si>
  <si>
    <t>It appeared in the cities and thus spread to our communities, in crowds.</t>
  </si>
  <si>
    <t>14 – 20 days according to comments.</t>
  </si>
  <si>
    <t>Headache, shortness of breath, waist pain, so they say.</t>
  </si>
  <si>
    <t>When we feel symptoms like headache and shortness of breath, we should immediately go to the health center.</t>
  </si>
  <si>
    <t>Wear a mask, maintain social distancing</t>
  </si>
  <si>
    <t>I took ivermectin before getting infected.</t>
  </si>
  <si>
    <t>To leave the community and go to the city.</t>
  </si>
  <si>
    <t>Of course they protected to avoid infecting others.</t>
  </si>
  <si>
    <t>No, we shouldn't, and it’s also not allowed to reuse it.</t>
  </si>
  <si>
    <t>I don’t know what it really is, but it must be some kind of protection.</t>
  </si>
  <si>
    <t>People should get it to protect themselves and avoid infection.</t>
  </si>
  <si>
    <t>They don’t want it because people say we’ll die three years after taking the vaccine.</t>
  </si>
  <si>
    <t>With the second dose, my arm hurt.</t>
  </si>
  <si>
    <t>It depends on each person. We can’t force it—it’s a personal decision.</t>
  </si>
  <si>
    <t>Among people we spread this disease.</t>
  </si>
  <si>
    <t>In more than a month I recovered; from 4 – 5 days I had mild fatigue.</t>
  </si>
  <si>
    <t>Body weakening over days, loss of appetite.</t>
  </si>
  <si>
    <t>It’s not necessary; I healed on my own.</t>
  </si>
  <si>
    <t>Wear a mask, Others</t>
  </si>
  <si>
    <t>We drank ginger, onion and burned sugar as a preventive.</t>
  </si>
  <si>
    <t>When going to the city to avoid a fine.</t>
  </si>
  <si>
    <t>They don’t protect; if they did, there wouldn’t be so many infections.</t>
  </si>
  <si>
    <t>Yes, since the law requires it, I use the same mask every time I leave the house.</t>
  </si>
  <si>
    <t>I don’t know what it is, but I heard the vaccine has graphene hydroxide that enters our blood, killing white blood cells, then goes to blood vessels and later to the brain.</t>
  </si>
  <si>
    <t>Authorities impose it as prevention.</t>
  </si>
  <si>
    <t>Honestly, I couldn’t tell you the reason.</t>
  </si>
  <si>
    <t>My shoulder hurt for one day—by the next day, it barely hurt.</t>
  </si>
  <si>
    <t>That’s each person’s choice—no one should be forced.</t>
  </si>
  <si>
    <t>Through our breathing and between people we got infected.</t>
  </si>
  <si>
    <t>Expressing doubt: between 2 – 3 days.</t>
  </si>
  <si>
    <t>Headache, flu, cough, fever.</t>
  </si>
  <si>
    <t>When there is high fever.</t>
  </si>
  <si>
    <t>We drank matico, coca leaf tea, fermented urine.</t>
  </si>
  <si>
    <t>In crowds, when leaving home, going shopping.</t>
  </si>
  <si>
    <t>No, it makes me feel short of breath.</t>
  </si>
  <si>
    <t>No, we must change it because we might have touched it with our hands.</t>
  </si>
  <si>
    <t>A prevention or a defense that doesn’t cure us.</t>
  </si>
  <si>
    <t>Because of the obligation.</t>
  </si>
  <si>
    <t>The vaccine is worse; they are injecting us with the same disease—that’s what’s going into our bodies.</t>
  </si>
  <si>
    <t>Some fever with the doses, but I took care of myself.</t>
  </si>
  <si>
    <t>Because it’s mandatory by government imposition.</t>
  </si>
  <si>
    <t>Social media (Facebook, Twitter, Messenger, Telegram, WhatsApp), TV, Internet</t>
  </si>
  <si>
    <t>Due to lack of hygiene, crowding, and visits from strangers to the community.</t>
  </si>
  <si>
    <t>After infection, symptoms manifest after about 15 days.</t>
  </si>
  <si>
    <t>Headache and sore throat, fever and body weakness.</t>
  </si>
  <si>
    <t>When symptoms attack too strongly.</t>
  </si>
  <si>
    <t>Wear a mask, get vaccinated</t>
  </si>
  <si>
    <t>Family drank infusions of matico, muña and cane alcohol twice a week.</t>
  </si>
  <si>
    <t>All the time, but in the countryside we hardly use it.</t>
  </si>
  <si>
    <t>They protect slightly but not fully; hands can still infect us.</t>
  </si>
  <si>
    <t>No, we reuse it; but sometimes we wash it to reuse.</t>
  </si>
  <si>
    <t>elderly people, people with diabetes, with high blood pressure, people with chronic lung disease, children, young people, People with cancer</t>
  </si>
  <si>
    <t>Protection against COVID.</t>
  </si>
  <si>
    <t>Because it’s mandatory due to the disease.</t>
  </si>
  <si>
    <t>Due to religious beliefs—they think it’s the mark of the beast.</t>
  </si>
  <si>
    <t>My body went numb, I felt very sleepy, had a headache, and no strength for almost two weeks.</t>
  </si>
  <si>
    <t>Because it’s necessary for studying and traveling.</t>
  </si>
  <si>
    <t>Radio, TV, Internet</t>
  </si>
  <si>
    <t>When we approach many people and don't know if someone is infected, we can catch the disease.</t>
  </si>
  <si>
    <t>In my experience, I estimate 8 days.</t>
  </si>
  <si>
    <t>Dry cough, headache and fever.</t>
  </si>
  <si>
    <t>When fever rises and cannot be controlled with urine compresses.</t>
  </si>
  <si>
    <t>Yes, I smoked herbs in my house and over my children to avoid illness.</t>
  </si>
  <si>
    <t>All the time when outside the house.</t>
  </si>
  <si>
    <t>They protect from others' breathing.</t>
  </si>
  <si>
    <t>When it's made of cloth, you wash and reuse it.</t>
  </si>
  <si>
    <t>A medicine that protects us so we don’t suffer infection.</t>
  </si>
  <si>
    <t>So that we all have protection and don’t get sick.</t>
  </si>
  <si>
    <t>Because of misinformation and beliefs of their religious sect.</t>
  </si>
  <si>
    <t>My body went numb and I was in bed almost three days after the second dose.</t>
  </si>
  <si>
    <t>To get our lives back to how they were before the disease.</t>
  </si>
  <si>
    <t>From my point of view, I think it is through our breathing we infect others or they infect us.</t>
  </si>
  <si>
    <t>After a week I got sick.</t>
  </si>
  <si>
    <t>Strong headache, very high fever, whole body aching and untouchable.</t>
  </si>
  <si>
    <t>When you have symptoms, act quickly before worsening.</t>
  </si>
  <si>
    <t>Put barriers on access roads to prevent outsiders bringing disease.</t>
  </si>
  <si>
    <t>When going shopping or anywhere.</t>
  </si>
  <si>
    <t>When using double masks they protect well.</t>
  </si>
  <si>
    <t>Since masks are expensive, I wash them when they get dirty.</t>
  </si>
  <si>
    <t>It is necessary to wash your hands for at least 20 seconds, You must wash your hands if you touch your nose or mouth, It is necessary to wash your hands after caring for a sick person, You must wash your hands upon returning home, Step into a container with bleach when entering the house</t>
  </si>
  <si>
    <t>What could it be? But they say it protects us.</t>
  </si>
  <si>
    <t>To protect ourselves and make the disease disappear.</t>
  </si>
  <si>
    <t>Many opinions exist—whether true or not, I don’t know.</t>
  </si>
  <si>
    <t>None—only weak people get sick, they say.</t>
  </si>
  <si>
    <t>So the spread decreases when we all get vaccinated.</t>
  </si>
  <si>
    <t>Commerce</t>
  </si>
  <si>
    <t>Social media (Facebook, Twitter, Messenger, Telegram, WhatsApp), TV</t>
  </si>
  <si>
    <t>By not respecting biosecurity measures, people did not obey and that's why it spread.</t>
  </si>
  <si>
    <t>7 days, but it depends; if the person is strong, it starts in 15 days.</t>
  </si>
  <si>
    <t>Chest and back pain, unbearable headache and dry cough.</t>
  </si>
  <si>
    <t>At the start of symptoms to cure ourselves.</t>
  </si>
  <si>
    <t>Macerated eucalyptus, walnut, capulí and coca leaves in cane alcohol; drank once a week.</t>
  </si>
  <si>
    <t>When attending meetings and shopping.</t>
  </si>
  <si>
    <t>I don’t know exactly because people still get infected despite using masks.</t>
  </si>
  <si>
    <t>It depends on the type of mask; KN95 can be reused if washed.</t>
  </si>
  <si>
    <t>A protection that people around the world are getting.</t>
  </si>
  <si>
    <t>To avoid getting seriously affected by COVID.</t>
  </si>
  <si>
    <t>Because they say it’s the mark of the beast that will control us.</t>
  </si>
  <si>
    <t>My arm swelled with both doses and I couldn’t move it.</t>
  </si>
  <si>
    <t>Something might happen to them—it’s better that each one decides.</t>
  </si>
  <si>
    <t>When gathering or crowding with an infected person we get infected.</t>
  </si>
  <si>
    <t>At that very moment symptoms manifest.</t>
  </si>
  <si>
    <t>First weakness, then headache, back pain and fever.</t>
  </si>
  <si>
    <t>When we feel unwell, we should go to the clinic.</t>
  </si>
  <si>
    <t>Frequently drank eucalyptus tea.</t>
  </si>
  <si>
    <t>When traveling in vehicles or entering any place (institutions).</t>
  </si>
  <si>
    <t>How would it be? Breathing feels heavy.</t>
  </si>
  <si>
    <t>If it’s still good, you can wash and reuse it.</t>
  </si>
  <si>
    <t>elderly people, people with chronic lung disease</t>
  </si>
  <si>
    <t>They say it’s protection, but even vaccinated people are still getting COVID.</t>
  </si>
  <si>
    <t>So we can enter any place and not get sick.</t>
  </si>
  <si>
    <t>Out of fear—they say the vaccines will kill us.</t>
  </si>
  <si>
    <t>Full body numbness for almost three days.</t>
  </si>
  <si>
    <t>Why should we recommend something we don’t fully understand?</t>
  </si>
  <si>
    <t>Social media (Facebook, Twitter, Messenger, Telegram, WhatsApp)</t>
  </si>
  <si>
    <t>When you meet people and through breathing.</t>
  </si>
  <si>
    <t>Approximately 8 days.</t>
  </si>
  <si>
    <t>Fever, sore throat.</t>
  </si>
  <si>
    <t>When you feel unwell, we have to go.</t>
  </si>
  <si>
    <t>When going to the street or traveling to cities.</t>
  </si>
  <si>
    <t>I think they might infect us, we breathe our own air again.</t>
  </si>
  <si>
    <t>No, we have to change it.</t>
  </si>
  <si>
    <t>I don’t know.</t>
  </si>
  <si>
    <t>By government order and obligation.</t>
  </si>
  <si>
    <t>Some say the vaccine has a microchip.</t>
  </si>
  <si>
    <t>I had a slight fever with the doses.</t>
  </si>
  <si>
    <t>So they protect and take care of themselves.</t>
  </si>
  <si>
    <t>urban</t>
  </si>
  <si>
    <t>Through the air, when someone coughs.</t>
  </si>
  <si>
    <t>15 days.</t>
  </si>
  <si>
    <t>Headache, bone pain, shortness of breath and sore throat.</t>
  </si>
  <si>
    <t>Traditional medicine, sachahuasca practiced.</t>
  </si>
  <si>
    <t>All the time when sick or with a cough.</t>
  </si>
  <si>
    <t>Helping to protect us and prevent infecting others.</t>
  </si>
  <si>
    <t>It depends on the type of mask.</t>
  </si>
  <si>
    <t>It’s something that can protect us from the disease so we don’t have many symptoms.</t>
  </si>
  <si>
    <t>To not get infected and to reduce transmission.</t>
  </si>
  <si>
    <t>Some don’t believe in it, others reject it due to their religion.</t>
  </si>
  <si>
    <t>With the third dose, I had arm and head pain for almost two days.</t>
  </si>
  <si>
    <t>So they don’t infect other family members and people around them.</t>
  </si>
  <si>
    <t>One week.</t>
  </si>
  <si>
    <t>Headache, bone pain, loss of smell.</t>
  </si>
  <si>
    <t>When oxygen saturation is dropping.</t>
  </si>
  <si>
    <t>Wear a mask, wash hands frequently, maintain social distancing</t>
  </si>
  <si>
    <t>Homemade medicines from the highlands for fever and cough.</t>
  </si>
  <si>
    <t>When attending to infected people, or going to public places.</t>
  </si>
  <si>
    <t>Perhaps there is virus in the air; they protect us and prevent infecting others.</t>
  </si>
  <si>
    <t>It’s an alternative to prevent the disease and not infect others.</t>
  </si>
  <si>
    <t>Because they have to protect themselves, their loved ones, and not infect others.</t>
  </si>
  <si>
    <t>There are people who didn’t get infected, and that’s why they don’t want to get vaccinated.</t>
  </si>
  <si>
    <t>Yes, a bit of nausea with the first dose.</t>
  </si>
  <si>
    <t>So they stay safe and don’t get infected—for the health of their loved ones and others.</t>
  </si>
  <si>
    <t>Student</t>
  </si>
  <si>
    <t>Incomplete higher education</t>
  </si>
  <si>
    <t>Through space, if there is an infected person sneezing it contaminates the space and thus spreads through saliva.</t>
  </si>
  <si>
    <t>2 days.</t>
  </si>
  <si>
    <t>Headache, loss of taste, body discomfort, weakness, fever.</t>
  </si>
  <si>
    <t>When presenting any of the mentioned symptoms.</t>
  </si>
  <si>
    <t>Drank Nukay infusion when feeling weak.</t>
  </si>
  <si>
    <t>When sick to avoid infecting others, when going where there is interaction.</t>
  </si>
  <si>
    <t>For infected people, they restrict spreading disease; for others, help avoid infection.</t>
  </si>
  <si>
    <t>No, that’s why they’re called disposable masks.</t>
  </si>
  <si>
    <t>A medicine that goes into the body, which in a way fights COVID and creates agents to avoid a second infection.</t>
  </si>
  <si>
    <t>To fight COVID and present some immunity to the disease.</t>
  </si>
  <si>
    <t>Opinions are divided; some are supported by studies, others are not. A lot of information comes from social media.</t>
  </si>
  <si>
    <t>A little pain in the shoulder.</t>
  </si>
  <si>
    <t>We’re going through a mental health crisis, and feeling protected plays an important role—plus public places require it for procedures.</t>
  </si>
  <si>
    <t>It came from China because people brought it.</t>
  </si>
  <si>
    <t>7 days.</t>
  </si>
  <si>
    <t>Fever day and night, then cough that tightens back and chest.</t>
  </si>
  <si>
    <t>When having high fever, one must heal.</t>
  </si>
  <si>
    <t>Drink herbal infusions: coca leaf, matico, eucalyptus and muña.</t>
  </si>
  <si>
    <t>When traveling by car to cities.</t>
  </si>
  <si>
    <t>They say they protect if double or thick; thin masks don’t protect.</t>
  </si>
  <si>
    <t>If you didn’t use it for long, you can use it until it gets dirty.</t>
  </si>
  <si>
    <t>What could it be? I don’t know.</t>
  </si>
  <si>
    <t>The reason is the pressure from all sides forcing us to get the vaccine.</t>
  </si>
  <si>
    <t>Because they say after three years we’ll die, so they don’t want to get vaccinated.</t>
  </si>
  <si>
    <t>I took care of myself, so I had no discomfort.</t>
  </si>
  <si>
    <t>If it's something to fear, then it’s best for everyone to decide on their own.</t>
  </si>
  <si>
    <t>When people are irresponsible, do not wear masks, and it spreads through the air.</t>
  </si>
  <si>
    <t>12 – 15 days approximately.</t>
  </si>
  <si>
    <t>High fever, headache and loss of food taste.</t>
  </si>
  <si>
    <t>At the first symptom.</t>
  </si>
  <si>
    <t>None.</t>
  </si>
  <si>
    <t>When having close contact, though not too close, with people.</t>
  </si>
  <si>
    <t>Preventing virus from going out or in through our breath.</t>
  </si>
  <si>
    <t>No, you have to change it every day.</t>
  </si>
  <si>
    <t>A protection that will help us not get infected with COVID.</t>
  </si>
  <si>
    <t>To be protected and protect their families.</t>
  </si>
  <si>
    <t>Because of ignorance and religious manipulation.</t>
  </si>
  <si>
    <t>None, but I took good care of myself.</t>
  </si>
  <si>
    <t>So they take care of their health and that of their family and neighbors.</t>
  </si>
  <si>
    <t>Through handshakes and getting close.</t>
  </si>
  <si>
    <t>Immediate infection and symptoms maybe after a week.</t>
  </si>
  <si>
    <t>They told me it is like a flu, headache and sore throat.</t>
  </si>
  <si>
    <t>When the person has discomfort like fever and others.</t>
  </si>
  <si>
    <t>Disinfected with bleach. Drank cane alcohol, eucalyptus, lemon, ginger and coca leaf, did herb saunas.</t>
  </si>
  <si>
    <t>Depending on whether going to a city with many people who might infect us.</t>
  </si>
  <si>
    <t>They protect us about 60% from infected breathing.</t>
  </si>
  <si>
    <t>No, because masks get contaminated.</t>
  </si>
  <si>
    <t>It’s a protection system so the person can become immune.</t>
  </si>
  <si>
    <t>Mostly to avoid infecting others who are still healthy.</t>
  </si>
  <si>
    <t>I suppose they believe it’s the mark of the beast.</t>
  </si>
  <si>
    <t>Because it didn’t affect me at all, I believe it would protect others too.</t>
  </si>
  <si>
    <t>By not obeying government prohibitions, gathering at parties and meetings, each person infects 4 others and so it multiplies.</t>
  </si>
  <si>
    <t>Almost 7 days and then they show in another 7 days.</t>
  </si>
  <si>
    <t>Fever, chills, flu-like, bone pain and full body pain, shortness of breath.</t>
  </si>
  <si>
    <t>When fever starts, with headache, treat immediately with warm remedies.</t>
  </si>
  <si>
    <t>Wear a mask, wash hands frequently, maintain social distancing, get vaccinated</t>
  </si>
  <si>
    <t>When going where there are many people and to cities.</t>
  </si>
  <si>
    <t>Yes, at least somewhat, to stop saliva spreading when talking.</t>
  </si>
  <si>
    <t>When it was cloth, I washed it, but the others are disposable and I burned them.</t>
  </si>
  <si>
    <t>It’s a defense to protect and prevent us.</t>
  </si>
  <si>
    <t>So COVID disappears—but due to others' disobedience, the disease continues.</t>
  </si>
  <si>
    <t>Because of rumors that we’ll die after two years.</t>
  </si>
  <si>
    <t>The third dose gave me a headache and high fever—my arm became immobile and I had bone pain for 2 to 3 months.</t>
  </si>
  <si>
    <t>But they don’t want to get vaccinated even when you tell them—because they’re afraid due to what they see online about the vaccine killing us.</t>
  </si>
  <si>
    <t>In restaurants and crowded places and at parties.</t>
  </si>
  <si>
    <t>They say 15 days.</t>
  </si>
  <si>
    <t>Fever.</t>
  </si>
  <si>
    <t>At the beginning of symptoms.</t>
  </si>
  <si>
    <t>Wear a mask, wash hands frequently, maintain social distancing, Others</t>
  </si>
  <si>
    <t>Infusion of herbs like matico, eucalyptus.</t>
  </si>
  <si>
    <t>When going out or to meet family.</t>
  </si>
  <si>
    <t>Something that acts as a defense.</t>
  </si>
  <si>
    <t>To avoid COVID infection.</t>
  </si>
  <si>
    <t>They think negatively about the vaccine and follow their religious beliefs.</t>
  </si>
  <si>
    <t>The decision depends on each person.</t>
  </si>
  <si>
    <t>Through breathing and crowding of people.</t>
  </si>
  <si>
    <t>6 – 7 days.</t>
  </si>
  <si>
    <t>Shortness of breath, back pain.</t>
  </si>
  <si>
    <t>When there is shortness of breath, back pain and others.</t>
  </si>
  <si>
    <t>Drink tea and chew coca leaf.</t>
  </si>
  <si>
    <t>In closed spaces and on the street.</t>
  </si>
  <si>
    <t>Yes, because they prevent you from inhaling what others breathe out.</t>
  </si>
  <si>
    <t>No, because they are already infected.</t>
  </si>
  <si>
    <t>A measure taken to alleviate the disaster caused by the pandemic.</t>
  </si>
  <si>
    <t>As a way of protection against the disease.</t>
  </si>
  <si>
    <t>Because the vaccines haven’t been scientifically tested for a complete amount of time.</t>
  </si>
  <si>
    <t>Yes, I had body aches, a cold, and limb pain with the first dose—but not with later ones.</t>
  </si>
  <si>
    <t>Because it’s the only way to protect against the COVID-19 pandemic.</t>
  </si>
  <si>
    <t>Employee or private worker</t>
  </si>
  <si>
    <t>Health center, Social media (Facebook, Twitter, Messenger, Telegram, WhatsApp), Radio, TV</t>
  </si>
  <si>
    <t>I imagine it comes through the air and infects the weak in body and mind.</t>
  </si>
  <si>
    <t>They say it starts with fever and dry cough.</t>
  </si>
  <si>
    <t>It is better to use our herbs; those who went to the hospital died.</t>
  </si>
  <si>
    <t>Infusion of coca leaf, walnut, muña, capulí.</t>
  </si>
  <si>
    <t>To enter institutions because it’s mandatory.</t>
  </si>
  <si>
    <t>Masks don’t protect, they harm our lungs.</t>
  </si>
  <si>
    <t>Yes, to avoid spending too much on masks.</t>
  </si>
  <si>
    <t>They say it’s protection; however, even vaccinated people are dying.</t>
  </si>
  <si>
    <t>Due to government obligation—they force you everywhere.</t>
  </si>
  <si>
    <t>Because of distrust in what the vaccine contains.</t>
  </si>
  <si>
    <t>So we don’t regret the consequences.</t>
  </si>
  <si>
    <t>Health center, Radio, TV</t>
  </si>
  <si>
    <t>Everyone says it spreads by breathing through the air.</t>
  </si>
  <si>
    <t>15 – 20 days.</t>
  </si>
  <si>
    <t>Most report headache and high fever.</t>
  </si>
  <si>
    <t>Instead of medical attention, curing ourselves with herbs is better.</t>
  </si>
  <si>
    <t>Infusion of coca leaf, also chewed coca leaf.</t>
  </si>
  <si>
    <t>When threatened with a fine and required for travel.</t>
  </si>
  <si>
    <t>They don’t help; with heat they smell bad.</t>
  </si>
  <si>
    <t>Yes, because too much money is wasted on masks for no reason.</t>
  </si>
  <si>
    <t>A liquid that the government buys to force us to take.</t>
  </si>
  <si>
    <t>Due to the obligation that is demanded everywhere.</t>
  </si>
  <si>
    <t>Because people don’t know if it’s good since it was just made.</t>
  </si>
  <si>
    <t>Knowing the vaccine may have unknown effects, it wouldn’t be responsible to recommend it.</t>
  </si>
  <si>
    <t>By people who did not stay in quarantine and infected others.</t>
  </si>
  <si>
    <t>Almost 2 weeks.</t>
  </si>
  <si>
    <t>Heavy headache, chest pain with breathing difficulty.</t>
  </si>
  <si>
    <t>At the start, seek help in the family. The clinic diagnoses everything as COVID.</t>
  </si>
  <si>
    <t>Drank matico, eucalyptus, cypress, muña, ginger macerated in cane alcohol.</t>
  </si>
  <si>
    <t>When going out to meet people in cities.</t>
  </si>
  <si>
    <t>They protect somewhat.</t>
  </si>
  <si>
    <t>They say no, but I use it until it gets dirty.</t>
  </si>
  <si>
    <t>It’s so it protects us and the disease infects us only lightly.</t>
  </si>
  <si>
    <t>So they are protected and the disease disappears.</t>
  </si>
  <si>
    <t>Out of fear, because of all the talk that the vaccine is pushing us toward death.</t>
  </si>
  <si>
    <t>The different things I’ve heard about the vaccine confuse me—it’s better that each person decides.</t>
  </si>
  <si>
    <t>When gathering or crowding.</t>
  </si>
  <si>
    <t>Headache, fever.</t>
  </si>
  <si>
    <t>I don't know</t>
  </si>
  <si>
    <t>When we are unwell with symptoms.</t>
  </si>
  <si>
    <t>Frequent bleach use, took paracetamol, macerated herbs like eucalyptus, cypress, ginger in cane alcohol.</t>
  </si>
  <si>
    <t>When leaving home to go to the city.</t>
  </si>
  <si>
    <t>Yes, they protected slightly.</t>
  </si>
  <si>
    <t>No, it's not possible.</t>
  </si>
  <si>
    <t>It is necessary to wash your hands for at least 20 seconds, You must wash your hands if you touch your nose or mouth, It is necessary to wash your hands after caring for a sick person, You must wash your hands upon returning home, Change your clothes when you leave</t>
  </si>
  <si>
    <t>To heal us from COVID.</t>
  </si>
  <si>
    <t>To be healthy.</t>
  </si>
  <si>
    <t>They don’t want it because there’s a version that says the vaccine will implant the beast’s chip.</t>
  </si>
  <si>
    <t>No, just a little pain with the second dose when my arm got swollen.</t>
  </si>
  <si>
    <t>But some don’t want it because the vaccine makes others sick.</t>
  </si>
  <si>
    <t>When not taking care, by not using masks.</t>
  </si>
  <si>
    <t>When we are unwell and have symptoms.</t>
  </si>
  <si>
    <t>Macerated matico and eucalyptus in cane alcohol, drank when feeling unwell.</t>
  </si>
  <si>
    <t>When going to the city, to health centers and banks.</t>
  </si>
  <si>
    <t>Of course they protect; why wouldn’t they?</t>
  </si>
  <si>
    <t>No, but it can be washed to reuse.</t>
  </si>
  <si>
    <t>It is necessary to wash your hands for at least 20 seconds, You must wash your hands if you touch your nose or mouth, It is necessary to wash your hands after caring for a sick person, You must wash your hands upon returning home, Wash your face</t>
  </si>
  <si>
    <t>It’s so we are well and protected.</t>
  </si>
  <si>
    <t>To take care of ourselves and be healthy, so COVID doesn’t infect us anymore.</t>
  </si>
  <si>
    <t>Because people complain of side effects and say it causes many illnesses.</t>
  </si>
  <si>
    <t>Despite everything that’s said, people still resist—saying the vaccine will kill us.</t>
  </si>
  <si>
    <t>Through our breathing it infects us and when infected we spread it to others.</t>
  </si>
  <si>
    <t>In almost 1 month, others say.</t>
  </si>
  <si>
    <t>When you’re healthy, suddenly body weakness, then fever and cough.</t>
  </si>
  <si>
    <t>When fever starts, we should go to the medical center.</t>
  </si>
  <si>
    <t>Daily Nukay infusion helped me recover.</t>
  </si>
  <si>
    <t>When going anywhere to avoid infecting or getting infected.</t>
  </si>
  <si>
    <t>Yes, they protect so our breath doesn’t spread.</t>
  </si>
  <si>
    <t>If we take it off frequently, of course we can reuse it before it gets dirty.</t>
  </si>
  <si>
    <t>Our authorities say it’s protection.</t>
  </si>
  <si>
    <t>So everyone is protected from the disease.</t>
  </si>
  <si>
    <t>Rumors exist that are scary—some say the vaccine is designed to kill us because of overpopulation.</t>
  </si>
  <si>
    <t>I was weak for nearly a week—I couldn’t do anything.</t>
  </si>
  <si>
    <t>Better not to recommend it, because anything could happen.</t>
  </si>
  <si>
    <t>Social media (Facebook, Twitter, Messenger, Telegram, WhatsApp), Radio</t>
  </si>
  <si>
    <t>Because the air spread this disease all over the planet.</t>
  </si>
  <si>
    <t>Health personnel say it’s in 2 weeks.</t>
  </si>
  <si>
    <t>High fever, cough and chest tightness to back.</t>
  </si>
  <si>
    <t>When in crowds or approaching people.</t>
  </si>
  <si>
    <t>They protect us from airborne virus entering our body.</t>
  </si>
  <si>
    <t>If it’s clean, it can be reused; when it gets dirty, it should be burned.</t>
  </si>
  <si>
    <t>What could it be? At least it will protect us.</t>
  </si>
  <si>
    <t>So the disease disappears and we can all be healthy.</t>
  </si>
  <si>
    <t>They say the mark of the beast and chip are already being implanted.</t>
  </si>
  <si>
    <t>The arm where they injected me went numb and I couldn’t do any activity.</t>
  </si>
  <si>
    <t>So they’re also protected.</t>
  </si>
  <si>
    <t>When people are irresponsible and do not wear masks it spreads in the air.</t>
  </si>
  <si>
    <t>12 – 15 days.</t>
  </si>
  <si>
    <t>Coca leaf macerated in cane alcohol.</t>
  </si>
  <si>
    <t>No, we have to change it every day.</t>
  </si>
  <si>
    <t>Due to ignorance and religious manipulation.</t>
  </si>
  <si>
    <t>When not using a mask the virus comes through the air.</t>
  </si>
  <si>
    <t>Approximately 10 days.</t>
  </si>
  <si>
    <t>Loss of food taste, dry cough with fever.</t>
  </si>
  <si>
    <t>When feeling unwell to take care and quarantine.</t>
  </si>
  <si>
    <t>Only chewed coca leaf every night.</t>
  </si>
  <si>
    <t>All the time since the virus is airborne.</t>
  </si>
  <si>
    <t>Preventing virus from entering through our breath.</t>
  </si>
  <si>
    <t>No, because when we walk, the virus may already be on the mask.</t>
  </si>
  <si>
    <t>A protection we must receive to not get infected.</t>
  </si>
  <si>
    <t>To stay healthy and reduce infections.</t>
  </si>
  <si>
    <t>Because of misinformation and religious beliefs that prevent them.</t>
  </si>
  <si>
    <t>So we’re all healthy and don’t have to mourn the loss of loved ones.</t>
  </si>
  <si>
    <t>What is the truth in reality? Some say it came through the air and others that people brought it.</t>
  </si>
  <si>
    <t>At that moment we get infected and in almost a week fatigue begins.</t>
  </si>
  <si>
    <t>Starts with weakness, then cough, fever, headache, back pain.</t>
  </si>
  <si>
    <t>When fever starts, go to the clinic before worsening.</t>
  </si>
  <si>
    <t>We ate garlic to protect from COVID.</t>
  </si>
  <si>
    <t>When traveling to big cities and while in the car.</t>
  </si>
  <si>
    <t>They help somewhat so we don’t get infected via breath.</t>
  </si>
  <si>
    <t>They say you shouldn’t reuse it, but when the mask is well preserved, I still use it.</t>
  </si>
  <si>
    <t>The clinic staff say it’s protection.</t>
  </si>
  <si>
    <t>Because they ask for it to complete any procedure, and that’s why I had to get vaccinated.</t>
  </si>
  <si>
    <t>They say the Antichrist is already implanting the chip, and through that, we’ll be controlled.</t>
  </si>
  <si>
    <t>No discomfort, but I rested.</t>
  </si>
  <si>
    <t>It wouldn’t be right to expose our family to something unknown.</t>
  </si>
  <si>
    <t>Central government, Local government (regional, municipal, etc.), Radio</t>
  </si>
  <si>
    <t>Through the crowding of people.</t>
  </si>
  <si>
    <t>Flu and fever.</t>
  </si>
  <si>
    <t>When very ill with fever and cough.</t>
  </si>
  <si>
    <t>Change clothes upon returning home.</t>
  </si>
  <si>
    <t>When on the street in crowds.</t>
  </si>
  <si>
    <t>Yes, they protected us.</t>
  </si>
  <si>
    <t>No, we can use it for just one day.</t>
  </si>
  <si>
    <t>It’s something that affects us and makes us sick.</t>
  </si>
  <si>
    <t>Due to government obligation.</t>
  </si>
  <si>
    <t>Out of fear of getting sick.</t>
  </si>
  <si>
    <t>Cold, fever, back pain—I was in bed for three days after the first dose.</t>
  </si>
  <si>
    <t>It’s a government obligation—they must get vaccinated.</t>
  </si>
  <si>
    <t>Incomplete technical higher education</t>
  </si>
  <si>
    <t>Health center</t>
  </si>
  <si>
    <t>Mainly through physical contact, not keeping social distance, through breathing.</t>
  </si>
  <si>
    <t>Approximately 15 minutes and it depends on the person’s immunity.</t>
  </si>
  <si>
    <t>Loss of taste and smell, fever, headache, cough.</t>
  </si>
  <si>
    <t>When presenting the mentioned symptoms.</t>
  </si>
  <si>
    <t>Yes, being in the countryside with clean air, weekly herb sauna with eucalyptus, walnut and matico.</t>
  </si>
  <si>
    <t>When having contact with people when going out.</t>
  </si>
  <si>
    <t>Preventing breath from spreading in the air.</t>
  </si>
  <si>
    <t>Yes.</t>
  </si>
  <si>
    <t>An immunity so the body can recognize the disease and react.</t>
  </si>
  <si>
    <t>To have better defense when we get the virus—to avoid the virus.</t>
  </si>
  <si>
    <t>Because of negative information about the vaccine.</t>
  </si>
  <si>
    <t>With the third dose, I had arm and head pain.</t>
  </si>
  <si>
    <t>Each family member must make their own decision.</t>
  </si>
  <si>
    <t>Contact, carelessness, and crowding of people.</t>
  </si>
  <si>
    <t>Exhaustion, shortness of breath.</t>
  </si>
  <si>
    <t>When there is physical weakness.</t>
  </si>
  <si>
    <t>Macerated ginger, garlic, honey in cane alcohol; drank once a week.</t>
  </si>
  <si>
    <t>When population gathers in meetings.</t>
  </si>
  <si>
    <t>When worn correctly they protect and help prevent.</t>
  </si>
  <si>
    <t>Not necessarily.</t>
  </si>
  <si>
    <t>It’s a form of prevention.</t>
  </si>
  <si>
    <t>To feel more calm and safe.</t>
  </si>
  <si>
    <t>Due to a belief that God will save them.</t>
  </si>
  <si>
    <t>Arm pain with all three doses.</t>
  </si>
  <si>
    <t>So they’re at least under control.</t>
  </si>
  <si>
    <t>By not keeping social distance.</t>
  </si>
  <si>
    <t>Weakness, fever, headache, flu.</t>
  </si>
  <si>
    <t>When symptoms start, we should go to the clinic.</t>
  </si>
  <si>
    <t>Traditional medicine, ayahuasca brew taken per guidance and body reaction.</t>
  </si>
  <si>
    <t>When in meetings.</t>
  </si>
  <si>
    <t>Yes, they protect us.</t>
  </si>
  <si>
    <t>No, you always have to change it.</t>
  </si>
  <si>
    <t>Prevention so that COVID doesn’t infect us.</t>
  </si>
  <si>
    <t>So COVID doesn’t infect us.</t>
  </si>
  <si>
    <t>The vaccine makes us sick and worse, so people don’t want it.</t>
  </si>
  <si>
    <t>After the first dose, I couldn’t move my arm for almost three days.</t>
  </si>
  <si>
    <t>I encourage vaccination so we can protect ourselves.</t>
  </si>
  <si>
    <t>The infection occurs through breathing, air, and lack of hygiene.</t>
  </si>
  <si>
    <t>15 days or more.</t>
  </si>
  <si>
    <t>Headache, loss of appetite and smell, fever, bone pain.</t>
  </si>
  <si>
    <t>When oxygen saturation is very low.</t>
  </si>
  <si>
    <t>When going to the street, public places, with infected people to care for them.</t>
  </si>
  <si>
    <t>They protect against airborne virus entering via breath.</t>
  </si>
  <si>
    <t>No, not at all.</t>
  </si>
  <si>
    <t>It’s the only solution to counter COVID.</t>
  </si>
  <si>
    <t>To not infect others and not catch the disease.</t>
  </si>
  <si>
    <t>Some people didn’t get infected or lose loved ones and don’t believe in the disease.</t>
  </si>
  <si>
    <t>Just dizziness and nausea with the first dose, for 2 to 3 minutes.</t>
  </si>
  <si>
    <t>So they can prevent getting the disease and not spread it to others.</t>
  </si>
  <si>
    <t>Completed university education</t>
  </si>
  <si>
    <t>Everything is aerobic.</t>
  </si>
  <si>
    <t>General discomfort, high fever, headache, flu, nasal congestion.</t>
  </si>
  <si>
    <t>When nothing more can be done at home.</t>
  </si>
  <si>
    <t>Home remedies, chew coca leaf, drink cane alcohol and other herbs like eucalyptus daily.</t>
  </si>
  <si>
    <t>At all times during COVID.</t>
  </si>
  <si>
    <t>We should wear masks and eye covers because you can also get infected there.</t>
  </si>
  <si>
    <t>When talking closely, they prevent full breath transmission.</t>
  </si>
  <si>
    <t>It’s not possible.</t>
  </si>
  <si>
    <t>It’s supposedly a part of the virus's DNA that they inject in the vaccine.</t>
  </si>
  <si>
    <t>To be immune.</t>
  </si>
  <si>
    <t>Because it’s not really a vaccine—scientists have shown it’s not.</t>
  </si>
  <si>
    <t>Because a vaccine should undergo a minimum two-year study, and it’s strange that this one didn’t.</t>
  </si>
  <si>
    <t>I don’t know, maybe 1 – 2 days.</t>
  </si>
  <si>
    <t>Fever, nausea, sore throat, headache.</t>
  </si>
  <si>
    <t>When worried about your health, ask when you have symptoms.</t>
  </si>
  <si>
    <t>Took matico and eucalyptus, did vapor inhalation to improve.</t>
  </si>
  <si>
    <t>When going to the city.</t>
  </si>
  <si>
    <t>They don’t let saliva or breath pass.</t>
  </si>
  <si>
    <t>Yes, if it's a cloth mask, wash it.</t>
  </si>
  <si>
    <t>It’s something that protects us from the disease, from the virus.</t>
  </si>
  <si>
    <t>To not get infected and not get sick.</t>
  </si>
  <si>
    <t>Because of rumors that the vaccine is to kill us and that it's a chip the government will use to control us.</t>
  </si>
  <si>
    <t>Fever, cough, cold—I was recovering from the cough for almost a week.</t>
  </si>
  <si>
    <t>I’m afraid, and it affects and makes others sick.</t>
  </si>
  <si>
    <t>Through breathing, that's why we protect ourselves with masks to not get infected.</t>
  </si>
  <si>
    <t>Fever, mild cough, headache, diarrhea.</t>
  </si>
  <si>
    <t>When I had fever and was in bed.</t>
  </si>
  <si>
    <t>Quarantine in a separate room.</t>
  </si>
  <si>
    <t>When going out and to institutions with double mask.</t>
  </si>
  <si>
    <t>Yes, they protect; others' breath doesn’t reach us and vice versa.</t>
  </si>
  <si>
    <t>No, it’s not possible, no matter how much you wash it — it’s better to throw it away.</t>
  </si>
  <si>
    <t>elderly people, people with diabetes, with high blood pressure, people with chronic lung disease, children, young people, Children and young people are mildly infected</t>
  </si>
  <si>
    <t>Protection we receive every 5 months.</t>
  </si>
  <si>
    <t>To protect themselves from this disease.</t>
  </si>
  <si>
    <t>Because they say the vaccine will only allow us to live two more years, and the government is sending it for that.</t>
  </si>
  <si>
    <t>The third dose caused fever and my arm was limp for over two weeks.</t>
  </si>
  <si>
    <t>They should get the vaccine—maybe it’s for our own good—I encourage them, and also say that even if we don’t die now, we will someday.</t>
  </si>
  <si>
    <t>Radio, TV, Internet, Relatives</t>
  </si>
  <si>
    <t>Through the environment.</t>
  </si>
  <si>
    <t>Maybe a month.</t>
  </si>
  <si>
    <t>Fever, headache and body discomfort.</t>
  </si>
  <si>
    <t>When they have symptoms to get attended.</t>
  </si>
  <si>
    <t>Naturally with herbs, macerated in cane alcohol with ginger and lemon.</t>
  </si>
  <si>
    <t>When meeting others or coordinating.</t>
  </si>
  <si>
    <t>They help; that’s why they force us.</t>
  </si>
  <si>
    <t>No, I think it should be changed daily.</t>
  </si>
  <si>
    <t>Maybe because of government obligation.</t>
  </si>
  <si>
    <t>Because some people get sick and are afraid of dying.</t>
  </si>
  <si>
    <t>Everyone must decide for themselves.</t>
  </si>
  <si>
    <t>Construction industry</t>
  </si>
  <si>
    <t>Central government, Local government (regional, municipal, etc.), Radio, TV</t>
  </si>
  <si>
    <t>Do not know.</t>
  </si>
  <si>
    <t>Fever and headache.</t>
  </si>
  <si>
    <t>When we feel unwell, we should go to the health center.</t>
  </si>
  <si>
    <t>Mostly ate natural products for nourishment.</t>
  </si>
  <si>
    <t>When in crowds to protect ourselves.</t>
  </si>
  <si>
    <t>Yes, I believe they always protect us.</t>
  </si>
  <si>
    <t>No, it’s not possible to reuse it.</t>
  </si>
  <si>
    <t>It is necessary to wash your hands for at least 20 seconds, You must wash your hands if you touch your nose or mouth, It is necessary to wash your hands after caring for a sick person</t>
  </si>
  <si>
    <t>So COVID doesn’t infect them.</t>
  </si>
  <si>
    <t>They say the vaccine will reduce our lifespan and is useless.</t>
  </si>
  <si>
    <t>The last dose gave me body aches and fever for almost 15 days.</t>
  </si>
  <si>
    <t>To protect ourselves and take care of each other.</t>
  </si>
  <si>
    <t>Incomplete university higher education</t>
  </si>
  <si>
    <t>Through physical contact or sharing objects.</t>
  </si>
  <si>
    <t>From the moment you get infected.</t>
  </si>
  <si>
    <t>Sore throat and headache.</t>
  </si>
  <si>
    <t>When first symptoms appear.</t>
  </si>
  <si>
    <t>Wash hands frequently, maintain social distancing, get vaccinated</t>
  </si>
  <si>
    <t>Cane alcohol with muña, coca leaf, eucalyptus, drank ~4 times.</t>
  </si>
  <si>
    <t>When going to the street and in crowds.</t>
  </si>
  <si>
    <t>At least stop disease molecules from passing.</t>
  </si>
  <si>
    <t>No, but it depends on the material of the mask.</t>
  </si>
  <si>
    <t>The vaccine would be like prevention.</t>
  </si>
  <si>
    <t>It’s necessary to avoid infection.</t>
  </si>
  <si>
    <t>Because of confusing comments—even claiming it could damage organs.</t>
  </si>
  <si>
    <t>Of course, so we don’t keep spreading the disease and can be free in all aspects.</t>
  </si>
  <si>
    <t>Among people when we get infected as carriers.</t>
  </si>
  <si>
    <t>Approximately 14 days.</t>
  </si>
  <si>
    <t>Headache, fever, body pain.</t>
  </si>
  <si>
    <t>When we feel unwell, we should go to the health post.</t>
  </si>
  <si>
    <t>Boil eucalyptus in macerated urine; recovered in 2–3 days.</t>
  </si>
  <si>
    <t>When going out or meeting family.</t>
  </si>
  <si>
    <t>Of course with two masks they protect.</t>
  </si>
  <si>
    <t>No, we must use another one.</t>
  </si>
  <si>
    <t>Something that defends us so we don’t get infected with COVID.</t>
  </si>
  <si>
    <t>So they don’t get infected with COVID.</t>
  </si>
  <si>
    <t>Because they say we’ll have short lives since the vaccine doesn’t work.</t>
  </si>
  <si>
    <t>I had fever and fatigue.</t>
  </si>
  <si>
    <t>I encourage them—since the vaccine came out, we’ve been able to protect ourselves.</t>
  </si>
  <si>
    <t>From the place where our relatives brought it from.</t>
  </si>
  <si>
    <t>Starts with body weakness, blurry vision, then fever, cough, nausea with food.</t>
  </si>
  <si>
    <t>When we have weakness, to avoid infecting family, we should get a COVID test.</t>
  </si>
  <si>
    <t>Drink herbs like eucalyptus, ginger, garlic.</t>
  </si>
  <si>
    <t>When meeting with others.</t>
  </si>
  <si>
    <t>They protect so disease doesn’t enter our body.</t>
  </si>
  <si>
    <t>No, because by going out with that mask, we could bring the virus into our home.</t>
  </si>
  <si>
    <t>Protection so that all people can be free of COVID.</t>
  </si>
  <si>
    <t>By improving, so we no longer suffer from the disease.</t>
  </si>
  <si>
    <t>They believe the vaccine will kill us slowly.</t>
  </si>
  <si>
    <t>No, I didn’t feel anything because I kept working.</t>
  </si>
  <si>
    <t>So we can be free from the disease and our family doesn’t get sick anymore.</t>
  </si>
  <si>
    <t>Through people who brought it.</t>
  </si>
  <si>
    <t>Fever, headache.</t>
  </si>
  <si>
    <t>At onset of symptoms.</t>
  </si>
  <si>
    <t>Coca tea, eucalyptus, honey, drank frequently.</t>
  </si>
  <si>
    <t>When going to the street.</t>
  </si>
  <si>
    <t>To avoid infection during conversations.</t>
  </si>
  <si>
    <t>No, it cannot be reused.</t>
  </si>
  <si>
    <t>A protection.</t>
  </si>
  <si>
    <t>To avoid infection.</t>
  </si>
  <si>
    <t>Because of comments saying the vaccine won’t protect us.</t>
  </si>
  <si>
    <t>But some don’t want to because they think it will kill us—everyone must choose.</t>
  </si>
  <si>
    <t>Through crowding there was spread.</t>
  </si>
  <si>
    <t>In 15 days.</t>
  </si>
  <si>
    <t>Headache, sore throat, fever.</t>
  </si>
  <si>
    <t>When symptoms start, we should go to the health post or a clinic.</t>
  </si>
  <si>
    <t>Vaporized eucalyptus in house and on family.</t>
  </si>
  <si>
    <t>When going to the street or meetings with strangers.</t>
  </si>
  <si>
    <t>They help in some way.</t>
  </si>
  <si>
    <t>The mask is for one-time use; it cannot be reused.</t>
  </si>
  <si>
    <t>It’s a cure for the COVID disease.</t>
  </si>
  <si>
    <t>To get out of the pandemic.</t>
  </si>
  <si>
    <t>There are many fears: that it kills over time, that it implants a chip.</t>
  </si>
  <si>
    <t>So life can return to normal.</t>
  </si>
  <si>
    <t>Through the air it must have come from China.</t>
  </si>
  <si>
    <t>Between 2 – 3 days and if the person is weak, symptoms show immediately.</t>
  </si>
  <si>
    <t>Headache, fever, chest pain, tired back, trembling bones.</t>
  </si>
  <si>
    <t>When weak, not only go to the clinic, because they send you to hospital and you worsen or die.</t>
  </si>
  <si>
    <t>Drank cane alcohol with ginger, 3 cups a day.</t>
  </si>
  <si>
    <t>At home not necessary, but yes when going out.</t>
  </si>
  <si>
    <t>They say they protect; that’s why double mask is recommended.</t>
  </si>
  <si>
    <t>If it's cloth, washing allows reuse.</t>
  </si>
  <si>
    <t>Protection against the disease and to eliminate COVID.</t>
  </si>
  <si>
    <t>So the disease doesn’t spread—otherwise, infections will continue.</t>
  </si>
  <si>
    <t>Because they suspect anything could be injected to kill us slowly.</t>
  </si>
  <si>
    <t>My head hurt for almost a week.</t>
  </si>
  <si>
    <t>I stay quiet—if I don’t know the truth, what could I say?</t>
  </si>
  <si>
    <t>Contagious and from lack of care.</t>
  </si>
  <si>
    <t>I don’t know exactly.</t>
  </si>
  <si>
    <t>When it attacks more severely.</t>
  </si>
  <si>
    <t>Bathe with eucalyptus and matico, disinfect with alcohol.</t>
  </si>
  <si>
    <t>Yes, they protect.</t>
  </si>
  <si>
    <t>It must be changed, and if it’s cloth, it can be washed and reused.</t>
  </si>
  <si>
    <t>It’s prevention.</t>
  </si>
  <si>
    <t>To be prepared—it’s not a cure.</t>
  </si>
  <si>
    <t>So there are no infections at home.</t>
  </si>
  <si>
    <t>Did not attend school</t>
  </si>
  <si>
    <t>It came from another country and spread.</t>
  </si>
  <si>
    <t>4 – 5 days.</t>
  </si>
  <si>
    <t>Bone chills and headache.</t>
  </si>
  <si>
    <t>When fever starts.</t>
  </si>
  <si>
    <t>Vaporized house with eucalyptus, matico.</t>
  </si>
  <si>
    <t>When going shopping and to the city.</t>
  </si>
  <si>
    <t>They have protected us.</t>
  </si>
  <si>
    <t>We cannot reuse; it must be changed frequently.</t>
  </si>
  <si>
    <t>For our well-being and to eliminate COVID.</t>
  </si>
  <si>
    <t>Everyone got vaccinated.</t>
  </si>
  <si>
    <t>A bit of fever for a moment.</t>
  </si>
  <si>
    <t>Did not attend</t>
  </si>
  <si>
    <t>Due to lack of protection with masks.</t>
  </si>
  <si>
    <t>Approximately 3 days.</t>
  </si>
  <si>
    <t>When we have fever or headache.</t>
  </si>
  <si>
    <t>Drank half a cup of eucalyptus, garlic, ginger, onion macerated in pisco.</t>
  </si>
  <si>
    <t>They always help.</t>
  </si>
  <si>
    <t>I don’t know; it’s not known what it is.</t>
  </si>
  <si>
    <t>Because they say we should get vaccinated so that COVID infects us.</t>
  </si>
  <si>
    <t>The vaccine will kill us and we’ll have a short life.</t>
  </si>
  <si>
    <t>My arm hurt and was numb.</t>
  </si>
  <si>
    <t>So they don’t get infected and stay healthy.</t>
  </si>
  <si>
    <t>TV, Friends, Relatives</t>
  </si>
  <si>
    <t>While walking and talking the virus spreads.</t>
  </si>
  <si>
    <t>NR</t>
  </si>
  <si>
    <t>No idea about the time.</t>
  </si>
  <si>
    <t>Paleness, sweating, headache.</t>
  </si>
  <si>
    <t>When I had symptoms, I went to the pharmacy.</t>
  </si>
  <si>
    <t>When leaving home and in crowds.</t>
  </si>
  <si>
    <t>They might protect or not.</t>
  </si>
  <si>
    <t>No, but cloth ones can be washed.</t>
  </si>
  <si>
    <t>It is necessary to wash your hands for at least 20 seconds, You must wash your hands if you touch your nose or mouth, It is necessary to wash your hands after caring for a sick person, You must wash your hands upon returning home, Disinfect with bleach</t>
  </si>
  <si>
    <t>It’s something they are testing on rats.</t>
  </si>
  <si>
    <t>No response.</t>
  </si>
  <si>
    <t>They get even sicker, that’s why they don’t want to get vaccinated.</t>
  </si>
  <si>
    <t>But it’s become necessary even just to enter the bank.</t>
  </si>
  <si>
    <t>In restaurants and party places where they walked it spread.</t>
  </si>
  <si>
    <t>They say 15 days I think.</t>
  </si>
  <si>
    <t>At the onset of symptoms.</t>
  </si>
  <si>
    <t>Quarantine, disinfect services if a family member is infected.</t>
  </si>
  <si>
    <t>It’s something like a defense.</t>
  </si>
  <si>
    <t>To avoid COVID.</t>
  </si>
  <si>
    <t>They think badly of it and because of their evangelical religion.</t>
  </si>
  <si>
    <t>That decision depends on each person.</t>
  </si>
  <si>
    <t>First grade of secondary school</t>
  </si>
  <si>
    <t>It is transmitted when we talk.</t>
  </si>
  <si>
    <t>Sometimes one week or in 3 days.</t>
  </si>
  <si>
    <t>High fever, cough, sore throat.</t>
  </si>
  <si>
    <t>When already having those pains, go to the clinic and get a test for quarantine.</t>
  </si>
  <si>
    <t>Twice daily drank macerated urine and cane alcohol.</t>
  </si>
  <si>
    <t>All the time, especially when going to the street.</t>
  </si>
  <si>
    <t>Not entirely, but they help somewhat.</t>
  </si>
  <si>
    <t>It cannot be reused.</t>
  </si>
  <si>
    <t>It’s a protection that acts like an antibody.</t>
  </si>
  <si>
    <t>Specifically because of the disease, it’s good that we get vaccinated to avoid infection.</t>
  </si>
  <si>
    <t>Because they resist it and think it’s not necessary; they don’t believe in the disease.</t>
  </si>
  <si>
    <t>Because we don’t know what we could catch, and even if we’re vaccinated, we can still get infected—so we must prevent.</t>
  </si>
  <si>
    <t>When someone infected transmits through breathing and talking.</t>
  </si>
  <si>
    <t>8 days.</t>
  </si>
  <si>
    <t>Chest pain, fever and cough.</t>
  </si>
  <si>
    <t>At the start of symptoms.</t>
  </si>
  <si>
    <t>Once or twice took cane alcohol macerated with urine, eucalyptus and muña.</t>
  </si>
  <si>
    <t>When in crowds.</t>
  </si>
  <si>
    <t>I don’t know, maybe they don’t protect.</t>
  </si>
  <si>
    <t>So it protects us.</t>
  </si>
  <si>
    <t>To protect ourselves and keep living.</t>
  </si>
  <si>
    <t>Because of their religious beliefs that don’t allow it, and because they say we’ll die within 3 years.</t>
  </si>
  <si>
    <t>Only my arm was numb.</t>
  </si>
  <si>
    <t>So the disease doesn’t infect them.</t>
  </si>
  <si>
    <t>When talking it spreads and without protecting with a mask saliva spreads.</t>
  </si>
  <si>
    <t>7 – 8 days.</t>
  </si>
  <si>
    <t>Sore throat, chest pain and headache.</t>
  </si>
  <si>
    <t>When you have fever, cough and pains, you should go to the health post.</t>
  </si>
  <si>
    <t>Macerated cane alcohol with ginger and garlic, drank twice a week.</t>
  </si>
  <si>
    <t>When going to the city to protect yourself and keep distance.</t>
  </si>
  <si>
    <t>We can’t assure mask protection; if God allows, we can still get infected.</t>
  </si>
  <si>
    <t>No, a different mask must be used each time.</t>
  </si>
  <si>
    <t>elderly people, people with diabetes, with high blood pressure, people with chronic lung disease, children, Those who are not well nourished</t>
  </si>
  <si>
    <t>They vaccinate us to protect us.</t>
  </si>
  <si>
    <t>We must get it to protect ourselves from the disease.</t>
  </si>
  <si>
    <t>Because they’re afraid—it’s said the vaccine will kill us and is meant to reduce the population.</t>
  </si>
  <si>
    <t>I had headaches almost every day for three days.</t>
  </si>
  <si>
    <t>I tell them to get vaccinated, but they don’t because they’re afraid to die, and the Pfizer vaccine is affecting some people.</t>
  </si>
  <si>
    <t>Because we did not take care the disease spread.</t>
  </si>
  <si>
    <t>8 to 15 days.</t>
  </si>
  <si>
    <t>Headache, fever, sore throat.</t>
  </si>
  <si>
    <t>When having fever or dry cough.</t>
  </si>
  <si>
    <t>None, but avoided visitors at home.</t>
  </si>
  <si>
    <t>When going to town.</t>
  </si>
  <si>
    <t>They don’t protect us.</t>
  </si>
  <si>
    <t>A protection against COVID.</t>
  </si>
  <si>
    <t>It’s pointless—people will die from the vaccine.</t>
  </si>
  <si>
    <t>I tell them to get vaccinated so they’re protected.</t>
  </si>
  <si>
    <t>From ignorance we did not protect with a mask and it spread.</t>
  </si>
  <si>
    <t>Fever, sore throat and headache.</t>
  </si>
  <si>
    <t>When you have fever.</t>
  </si>
  <si>
    <t>Took macerated onion and garlic twice a day.</t>
  </si>
  <si>
    <t>No, they don’t protect.</t>
  </si>
  <si>
    <t>No, you must use a different mask every day.</t>
  </si>
  <si>
    <t>It’s so COVID infects us.</t>
  </si>
  <si>
    <t>So we avoid getting infected.</t>
  </si>
  <si>
    <t>The second dose made my whole body hurt for nearly two days.</t>
  </si>
  <si>
    <t>So we avoid severe infections—because in vaccinated people, the disease will be milder.</t>
  </si>
  <si>
    <t>TV, Internet, Friends, Relatives</t>
  </si>
  <si>
    <t>While people walked they spread.</t>
  </si>
  <si>
    <t>1 or 2 days, I don’t know.</t>
  </si>
  <si>
    <t>Different symptoms, some get flu-like, others chest pain radiating to back.</t>
  </si>
  <si>
    <t>Better to heal at home in the countryside, in the clinic they don’t cure.</t>
  </si>
  <si>
    <t>Only when going to the city or to public places.</t>
  </si>
  <si>
    <t>I don’t know, maybe they do protect.</t>
  </si>
  <si>
    <t>No, we must change it every day.</t>
  </si>
  <si>
    <t>It is necessary to wash your hands for at least 20 seconds, You must wash your hands if you touch your nose or mouth, It is necessary to wash your hands after caring for a sick person, You must wash your hands upon returning home, We are not washing daily</t>
  </si>
  <si>
    <t>So they don’t get infected.</t>
  </si>
  <si>
    <t>Maybe there will be people.</t>
  </si>
  <si>
    <t>Only my shoulder is untouchable.</t>
  </si>
  <si>
    <t>So they can protect themselves from the illness.</t>
  </si>
  <si>
    <t>I don't know how it spreads, maybe through the air.</t>
  </si>
  <si>
    <t>I don’t know, because it’s just like a flu.</t>
  </si>
  <si>
    <t>Only infects the weak.</t>
  </si>
  <si>
    <t>Health staff lie; disease cooks your liver and that’s how people die.</t>
  </si>
  <si>
    <t>Inhaled creosote, even the sick person improved.</t>
  </si>
  <si>
    <t>They told us masks protect, but air passes through normally otherwise we’d die.</t>
  </si>
  <si>
    <t>We wear it for no reason.</t>
  </si>
  <si>
    <t>No, it’s a story, they don’t protect.</t>
  </si>
  <si>
    <t>I don’t know how to use it; I only put one on to enter institutions.</t>
  </si>
  <si>
    <t>They have talked about keeping those measures, but I don't believe what they say.</t>
  </si>
  <si>
    <t>We are not all the same and it attacks us differently</t>
  </si>
  <si>
    <t>The vaccine doesn’t exist, it’s worse.</t>
  </si>
  <si>
    <t>I think it’s causing more disease and...</t>
  </si>
  <si>
    <t>Because it hurts and because it’s mandatory.</t>
  </si>
  <si>
    <t>The second dose made my arm hurt and it prevented me from working.</t>
  </si>
  <si>
    <t>I don’t want to, because it harms people.</t>
  </si>
  <si>
    <t>When people from other places come infected.</t>
  </si>
  <si>
    <t>Almost approximately in 2 weeks.</t>
  </si>
  <si>
    <t>They say heavy, numb head, then body weakness, then fever and back pain.</t>
  </si>
  <si>
    <t>When having fever, go to the clinic because we are worsening.</t>
  </si>
  <si>
    <t>Macerated cane alcohol with garlic, ginger, onion; drank preventively.</t>
  </si>
  <si>
    <t>When leaving home for any reason.</t>
  </si>
  <si>
    <t>They say they protect slightly to avoid inhaling virus.</t>
  </si>
  <si>
    <t>No, since I was exposed to the air, the virus could already be on the mask or it could already be infected.</t>
  </si>
  <si>
    <t>They say it’s the same disease they inject us with so when we get infected, it doesn’t make us sick.</t>
  </si>
  <si>
    <t>To beat the disease once we are all vaccinated.</t>
  </si>
  <si>
    <t>Because they say this vaccine causes blood clots and leads to death.</t>
  </si>
  <si>
    <t>A bit of fever for nearly four days.</t>
  </si>
  <si>
    <t>Each person must decide—we are living in the context of this disease.</t>
  </si>
  <si>
    <t>Incomplete secondary school</t>
  </si>
  <si>
    <t>What could we believe? By breathing and air.</t>
  </si>
  <si>
    <t>Fever, headache, diarrhea.</t>
  </si>
  <si>
    <t>When we have first symptoms, take pills.</t>
  </si>
  <si>
    <t>Preventive meds like ivermectin; also took plants.</t>
  </si>
  <si>
    <t>When in crowds or when someone is sick to protect ourselves.</t>
  </si>
  <si>
    <t>At least they protected a little.</t>
  </si>
  <si>
    <t>No, it must be reused. (likely meant "not reused")</t>
  </si>
  <si>
    <t>It’s protection.</t>
  </si>
  <si>
    <t>So people don’t die.</t>
  </si>
  <si>
    <t>Because I’m afraid to die since people are dying from the vaccine.</t>
  </si>
  <si>
    <t>I was traumatized psychologically from fear of dying.</t>
  </si>
  <si>
    <t>Everyone is vaccinated, but I’m very afraid of the vaccine.</t>
  </si>
  <si>
    <t>Health center, Social media (Facebook, Twitter, Messenger, Telegram, WhatsApp), Radio, TV, Internet</t>
  </si>
  <si>
    <t>Through physical contact.</t>
  </si>
  <si>
    <t>Headache, body pain.</t>
  </si>
  <si>
    <t>When showing symptoms.</t>
  </si>
  <si>
    <t>Wash hands frequently</t>
  </si>
  <si>
    <t>Drank cane alcohol two or three times a week.</t>
  </si>
  <si>
    <t>Where there are many people like hospitals.</t>
  </si>
  <si>
    <t>When we talk, saliva stays on the mask.</t>
  </si>
  <si>
    <t>It’s to prevent infection; if it were a cure, the disease would be gone and we’d all be healthy.</t>
  </si>
  <si>
    <t>They say the vaccine causes illnesses and is the devil’s mark.</t>
  </si>
  <si>
    <t>With the first dose, I had fever, headache, body pain, and arm pain—with the third dose, the pain was more intense; with the second dose, I had no discomfort.</t>
  </si>
  <si>
    <t>To prevent infection.</t>
  </si>
  <si>
    <t>When they have contact with people.</t>
  </si>
  <si>
    <t>3 days.</t>
  </si>
  <si>
    <t>Fever, headache, whole body pain.</t>
  </si>
  <si>
    <t>When having fever and discomfort.</t>
  </si>
  <si>
    <t>Did sauna, as virus stays in respiratory system for 3 days, heat and eucalyptus reduce it.</t>
  </si>
  <si>
    <t>When in crowds and when going to the city.</t>
  </si>
  <si>
    <t>No, they don’t protect; it's an illness.</t>
  </si>
  <si>
    <t>It’s protection from the disease.</t>
  </si>
  <si>
    <t>Because of government obligation and for oneself—to take care of our own health.</t>
  </si>
  <si>
    <t>Because they say it brings other diseases.</t>
  </si>
  <si>
    <t>Yes, I had fever, headache, and couldn’t do anything.</t>
  </si>
  <si>
    <t>Everyone has to take care of themselves.</t>
  </si>
  <si>
    <t>By not keeping distance with the disease that appeared from not fulfilling obligations.</t>
  </si>
  <si>
    <t>It will take 2 days.</t>
  </si>
  <si>
    <t>Fever, sore throat, headache, body pain.</t>
  </si>
  <si>
    <t>When having fever, headache, numb arm.</t>
  </si>
  <si>
    <t>At pandemic start, took onion, garlic, eucalyptus morning and afternoon.</t>
  </si>
  <si>
    <t>When going to the street because we don’t know who others have been with.</t>
  </si>
  <si>
    <t>When others talk, they protect us from saliva.</t>
  </si>
  <si>
    <t>Of course, thick-textured masks can be reused.</t>
  </si>
  <si>
    <t>You must wash your hands upon returning home</t>
  </si>
  <si>
    <t>people with diabetes, with high blood pressure</t>
  </si>
  <si>
    <t>It’s prevention that can help us with COVID.</t>
  </si>
  <si>
    <t>To be able to protect themselves.</t>
  </si>
  <si>
    <t>Because of their beliefs that a chip is being implanted.</t>
  </si>
  <si>
    <t>Well, if they want to, they should get vaccinated—if not, they shouldn’t—but since it’s mandatory to enter institutions, they should get vaccinated.</t>
  </si>
  <si>
    <t>TV, Relatives</t>
  </si>
  <si>
    <t>By traveling or walking it spread.</t>
  </si>
  <si>
    <t>Symptoms appear differently, some flu-like, others chest pain radiating to back.</t>
  </si>
  <si>
    <t>Better to heal in the countryside (at home), in the city they don’t cure.</t>
  </si>
  <si>
    <t>Eucalyptus inhalation (vaporization).</t>
  </si>
  <si>
    <t>When going to the city or to public places, not used in the countryside.</t>
  </si>
  <si>
    <t>I don’t know, maybe they protect.</t>
  </si>
  <si>
    <t>We cannot reuse.</t>
  </si>
  <si>
    <t>To not get infected with the disease.</t>
  </si>
  <si>
    <t>There might be.</t>
  </si>
  <si>
    <t>Only pain in the shoulder area where I received the shot.</t>
  </si>
  <si>
    <t>To protect ourselves from the disease.</t>
  </si>
  <si>
    <t>When approaching infected people and not having proper hygiene.</t>
  </si>
  <si>
    <t>General body discomfort and fever.</t>
  </si>
  <si>
    <t>Medical care is not necessary, enough to heal with herbs, like eucalyptus cures COVID.</t>
  </si>
  <si>
    <t>Drink macerated eucalyptus and coca leaf on an empty stomach.</t>
  </si>
  <si>
    <t>When going to stores or crowded places.</t>
  </si>
  <si>
    <t>I don’t think they help; they suffocate us.</t>
  </si>
  <si>
    <t>No, because it gets soaked with our breath.</t>
  </si>
  <si>
    <t>A formula they made to reduce the spread of COVID.</t>
  </si>
  <si>
    <t>To be immunized and reduce infections.</t>
  </si>
  <si>
    <t>Because they’re afraid of getting sick.</t>
  </si>
  <si>
    <t>Only the area where the needle went in was untouchable.</t>
  </si>
  <si>
    <t>So they are immune and no longer get infected with COVID.</t>
  </si>
  <si>
    <t>Health center, Social media (Facebook, Twitter, Messenger, Telegram, WhatsApp), TV</t>
  </si>
  <si>
    <t>Because people did not quarantine, they spread the disease everywhere they went while infected.</t>
  </si>
  <si>
    <t>10 – 12 days.</t>
  </si>
  <si>
    <t>Body discomfort, headache, fever, cough.</t>
  </si>
  <si>
    <t>At onset of symptoms, good to rule out with COVID test.</t>
  </si>
  <si>
    <t>Rub eucalyptus and muña, frequently inhale.</t>
  </si>
  <si>
    <t>All the time.</t>
  </si>
  <si>
    <t>They prevent others’ saliva or breath from reaching us.</t>
  </si>
  <si>
    <t>No, because it could already be contaminated.</t>
  </si>
  <si>
    <t>A prevention to avoid infection.</t>
  </si>
  <si>
    <t>Because of bad information they receive, and they believe it without checking.</t>
  </si>
  <si>
    <t>So we can all reduce the spread.</t>
  </si>
  <si>
    <t>Through our breathing near others.</t>
  </si>
  <si>
    <t>10 – 15 days.</t>
  </si>
  <si>
    <t>Fever with body discomfort, slight shortness of breath.</t>
  </si>
  <si>
    <t>At first symptom to do quarantine and not infect others.</t>
  </si>
  <si>
    <t>Chewed coca leaf at night.</t>
  </si>
  <si>
    <t>When leaving home or when visited.</t>
  </si>
  <si>
    <t>Preventing saliva from infected person from reaching us.</t>
  </si>
  <si>
    <t>No, because they get contaminated.</t>
  </si>
  <si>
    <t>The protection they found to stop the spread of COVID.</t>
  </si>
  <si>
    <t>Because it’s the only way to eradicate COVID.</t>
  </si>
  <si>
    <t>Because there are people who misinform and create fear of sudden death.</t>
  </si>
  <si>
    <t>Arm swelling with all the doses received.</t>
  </si>
  <si>
    <t>Because we all need to be protected against COVID.</t>
  </si>
  <si>
    <t>It spreads through breathing near other people, plus our saliva splashing can reach others.</t>
  </si>
  <si>
    <t>Fever, headache, shortness of breath and heart pain.</t>
  </si>
  <si>
    <t>At first symptom appearance.</t>
  </si>
  <si>
    <t>Smelled eucalyptus every night by rubbing.</t>
  </si>
  <si>
    <t>When among people or entering public places.</t>
  </si>
  <si>
    <t>Prevent virus entry so we don’t get infected when close to others.</t>
  </si>
  <si>
    <t>No, for no reason.</t>
  </si>
  <si>
    <t>It’s immunization against COVID.</t>
  </si>
  <si>
    <t>So they are immune to COVID and don’t suffer strong effects when infected.</t>
  </si>
  <si>
    <t>Because they don’t understand the protection the vaccine offers.</t>
  </si>
  <si>
    <t>To prevent infecting other vulnerable people.</t>
  </si>
  <si>
    <t>When we are gathered because our breathing is in the air.</t>
  </si>
  <si>
    <t>Almost 15 days.</t>
  </si>
  <si>
    <t>Intense headache, shortness of breath and cough.</t>
  </si>
  <si>
    <t>When mild symptoms start, get COVID test.</t>
  </si>
  <si>
    <t>Took ivermectin once a week.</t>
  </si>
  <si>
    <t>When walking among people.</t>
  </si>
  <si>
    <t>Yes, at least they protect us a little from invisible virus.</t>
  </si>
  <si>
    <t>No, the used mask is already contaminated and must be discarded.</t>
  </si>
  <si>
    <t>A protection against the disease of COVID.</t>
  </si>
  <si>
    <t>So they already have protection so when infected, they are healthy.</t>
  </si>
  <si>
    <t>They say the vaccine is to reduce the population and that our blood will clot soon and we’ll die.</t>
  </si>
  <si>
    <t>With the third dose, I had a fever for almost three nights.</t>
  </si>
  <si>
    <t>We must decide ourselves—after being well informed about the vaccine.</t>
  </si>
  <si>
    <t>It is in the air, after leaving our breathing and then enters our body without realizing.</t>
  </si>
  <si>
    <t>In 10 days.</t>
  </si>
  <si>
    <t>Loss of food taste, then body deterioration and fever.</t>
  </si>
  <si>
    <t>When symptoms start, immediately boil eucalyptus to drink and inhale.</t>
  </si>
  <si>
    <t>Chewed coca leaf to remove virus from throat.</t>
  </si>
  <si>
    <t>Among people and when going to the city.</t>
  </si>
  <si>
    <t>When using two masks, they protect better.</t>
  </si>
  <si>
    <t>No, you should only use the mask for one day.</t>
  </si>
  <si>
    <t>A protection medicine acquired by the government.</t>
  </si>
  <si>
    <t>So they don’t get infected with the disease anymore.</t>
  </si>
  <si>
    <t>Because some say the vaccine will kill us.</t>
  </si>
  <si>
    <t>No, I didn’t feel anything because I followed the recommendations for 3 days.</t>
  </si>
  <si>
    <t>For their own well-being and to make the disease disappear.</t>
  </si>
  <si>
    <t>Health center, Radio</t>
  </si>
  <si>
    <t>I don't know how it spreads so much.</t>
  </si>
  <si>
    <t>Approximately 5 to 7 days.</t>
  </si>
  <si>
    <t>Starts with loss of food taste, fever and headache.</t>
  </si>
  <si>
    <t>When symptoms start, treat with herbs because clinic only gives paracetamol.</t>
  </si>
  <si>
    <t>When going to the city and meeting people.</t>
  </si>
  <si>
    <t>They protect from others’ breath so we don’t take virus in.</t>
  </si>
  <si>
    <t>No, that’s what the health center staff tells us.</t>
  </si>
  <si>
    <t>A protection, because they say people who are vaccinated will catch COVID with mild symptoms.</t>
  </si>
  <si>
    <t>To protect ourselves from the disease and prevent infection.</t>
  </si>
  <si>
    <t>Because of rumors that create fear that the vaccine will kill us.</t>
  </si>
  <si>
    <t>No, I took good care of myself.</t>
  </si>
  <si>
    <t>So we’re all healthy and avoid death.</t>
  </si>
  <si>
    <t>Second grade of secondary school</t>
  </si>
  <si>
    <t>Health center, TV</t>
  </si>
  <si>
    <t>When people crowd together, through their breathing they infect others.</t>
  </si>
  <si>
    <t>In 7 days.</t>
  </si>
  <si>
    <t>Intense fever, loss of appetite, loss of food taste.</t>
  </si>
  <si>
    <t>As soon as we feel unwell, go to the clinic.</t>
  </si>
  <si>
    <t>Drank cane alcohol before sleeping.</t>
  </si>
  <si>
    <t>When leaving home and going to meet people.</t>
  </si>
  <si>
    <t>If good quality, they protect; if not, pointless.</t>
  </si>
  <si>
    <t>A quality mask can be used until it gets dirty.</t>
  </si>
  <si>
    <t>A protection developed by scientists.</t>
  </si>
  <si>
    <t>So they no longer suffer from the disease and can be healthy.</t>
  </si>
  <si>
    <t>Because of a lot of talk from people claiming the vaccine will kill us.</t>
  </si>
  <si>
    <t>My arm was numb for 3 days and I couldn’t do any activity.</t>
  </si>
  <si>
    <t>That decision must be made by each person.</t>
  </si>
  <si>
    <t>People did not keep confinement and while moving around infected others.</t>
  </si>
  <si>
    <t>In 15 days they say it develops in our body.</t>
  </si>
  <si>
    <t>When infected, weakness, after 15 days flu-like symptoms.</t>
  </si>
  <si>
    <t>When fever starts in the body.</t>
  </si>
  <si>
    <t>When meeting people.</t>
  </si>
  <si>
    <t>They help somewhat to block others’ breath.</t>
  </si>
  <si>
    <t>No, definitely we cannot use it.</t>
  </si>
  <si>
    <t>The health post staff say it’s a protection.</t>
  </si>
  <si>
    <t>So when they get infected, the disease won’t have strong symptoms.</t>
  </si>
  <si>
    <t>Since the vaccine makes people sick, people are afraid.</t>
  </si>
  <si>
    <t>Yes, I had high fever both day and night.</t>
  </si>
  <si>
    <t>On this earth, everyone must make their own decisions.</t>
  </si>
  <si>
    <t>From my point of view COVID does not exist because it is a simple flu.</t>
  </si>
  <si>
    <t>They say approximately 10 days.</t>
  </si>
  <si>
    <t>Tightening headache, fever, body discomfort like fever.</t>
  </si>
  <si>
    <t>Pointless to seek care in health post; they send to hospital and people die.</t>
  </si>
  <si>
    <t>Vaporized eucalyptus when returning home.</t>
  </si>
  <si>
    <t>Mandatory by regulation.</t>
  </si>
  <si>
    <t>No fabric can fully protect; if it did, we’d suffocate.</t>
  </si>
  <si>
    <t>I use it until it gets dirty.</t>
  </si>
  <si>
    <t>It is necessary to wash your hands for at least 20 seconds, You must wash your hands upon returning home</t>
  </si>
  <si>
    <t>Any liquid that we don’t know about might be what they’re injecting into us.</t>
  </si>
  <si>
    <t>I think people get vaccinated just because—maybe it’s good, or maybe it’s bad.</t>
  </si>
  <si>
    <t>We should be suspicious of the unknown.</t>
  </si>
  <si>
    <t>I had terrible fever—whatever was in that vaccine made me very weak.</t>
  </si>
  <si>
    <t>It could be something we regret.</t>
  </si>
  <si>
    <t>By not keeping confinement and disobeying obligations.</t>
  </si>
  <si>
    <t>Almost 5 days.</t>
  </si>
  <si>
    <t>Body numbness, then no strength, then fever and then cough.</t>
  </si>
  <si>
    <t>When you feel symptoms, go to the health center.</t>
  </si>
  <si>
    <t>Chewed mature coca leaf for dry cough.</t>
  </si>
  <si>
    <t>When shopping or traveling by car.</t>
  </si>
  <si>
    <t>When using double thick mask, they protect.</t>
  </si>
  <si>
    <t>No, that mask may already be infected with COVID.</t>
  </si>
  <si>
    <t>A medicine so COVID doesn’t hit us hard.</t>
  </si>
  <si>
    <t>So this horrible disease doesn’t keep increasing with infections.</t>
  </si>
  <si>
    <t>Because they say the mark of the beast is being injected into us.</t>
  </si>
  <si>
    <t>The second dose made me extremely weak—I was in bed for nearly 3 days.</t>
  </si>
  <si>
    <t>I tell them so we all get vaccinated and reduce the disease.</t>
  </si>
  <si>
    <t>Health center, Radio, TV, Relatives</t>
  </si>
  <si>
    <t>When an infected person moves, they infect one and another person.</t>
  </si>
  <si>
    <t>Dry cough, shortness of breath, back tightness pain.</t>
  </si>
  <si>
    <t>We should heal with herbs first, then visit health post.</t>
  </si>
  <si>
    <t>Cured cough with herbs: eucalyptus, muña, capulí, walnut; drank frequently.</t>
  </si>
  <si>
    <t>To enter banks, schools and other public places.</t>
  </si>
  <si>
    <t>They say they protect, but heavy breathing strains lungs.</t>
  </si>
  <si>
    <t>No, but too much money is wasted when changing it often, so I wash and reuse.</t>
  </si>
  <si>
    <t>Protection against the disease to avoid infection.</t>
  </si>
  <si>
    <t>So the disease doesn’t attack us and doesn’t spread.</t>
  </si>
  <si>
    <t>Because they say the vaccine will kill us in 3 years.</t>
  </si>
  <si>
    <t>Despite working, I had no symptoms.</t>
  </si>
  <si>
    <t>With a disease that is unknown, it’s better each person makes their own decision.</t>
  </si>
  <si>
    <t>Health center, TV, Relatives</t>
  </si>
  <si>
    <t>Through the air this disease must have spread so much.</t>
  </si>
  <si>
    <t>In 15 days it caused me fatigue.</t>
  </si>
  <si>
    <t>Didn’t taste food, then fever, cough, shortness of breath.</t>
  </si>
  <si>
    <t>Do not go to clinic, they send to hospital where people die.</t>
  </si>
  <si>
    <t>Rubbed Nukay and smelled for respiratory system.</t>
  </si>
  <si>
    <t>When going to the city, banks, pharmacies or stores.</t>
  </si>
  <si>
    <t>Thin masks allow virus entry; thick masks protect, they say.</t>
  </si>
  <si>
    <t>No, that’s not what we should do.</t>
  </si>
  <si>
    <t>They say it’s the same disease, but when it’s injected as a vaccine, it will be in our body and if we get infected, we won’t get severely ill.</t>
  </si>
  <si>
    <t>So the disease no longer hits us hard.</t>
  </si>
  <si>
    <t>Because of fear caused by claims that the vaccine will lead to death.</t>
  </si>
  <si>
    <t>Yes, half of my body—the arm side where I got the shot—went numb and was untouchable with the second dose.</t>
  </si>
  <si>
    <t>They themselves—if they’re listening—should decide whether or not to receive the vaccine.</t>
  </si>
  <si>
    <t>Radio, Friends, Relatives</t>
  </si>
  <si>
    <t>How is it? What is the truth? Nobody knows.</t>
  </si>
  <si>
    <t>Approximately in 12 days.</t>
  </si>
  <si>
    <t>Bone chills, headache, some say chest pain tightening.</t>
  </si>
  <si>
    <t>When strong fever affects us.</t>
  </si>
  <si>
    <t>Put barrier at town entrance to avoid outsiders bringing disease.</t>
  </si>
  <si>
    <t>Only when forced by police, also in the bank.</t>
  </si>
  <si>
    <t>I don’t believe, we wear them so people don’t judge us.</t>
  </si>
  <si>
    <t>If it's washed, yes — we wear it while it's in good condition.</t>
  </si>
  <si>
    <t>What could it be? I don’t even think it has a name.</t>
  </si>
  <si>
    <t>To protect ourselves and eliminate the disease—that’s what they say.</t>
  </si>
  <si>
    <t>Since the vaccine makes you sick and weakens the arm that received it—they can’t do hard labor or lift heavy things.</t>
  </si>
  <si>
    <t>Yes, my arm hurts and when I do strenuous tasks, my arm lacks strength.</t>
  </si>
  <si>
    <t>This vaccine doesn’t seem like something good—depending on our decision, we should be prepared.</t>
  </si>
  <si>
    <t>Among many people we transmit breathing and get infected.</t>
  </si>
  <si>
    <t>Fever, shortness of breath, heart pain and headache.</t>
  </si>
  <si>
    <t>When we feel unwell, we should seek medical attention at the start.</t>
  </si>
  <si>
    <t>When among people.</t>
  </si>
  <si>
    <t>Yes, they protect so disease doesn’t saturate us.</t>
  </si>
  <si>
    <t>No, that would be fine.</t>
  </si>
  <si>
    <t>They say it’s protection, because when we are vaccinated, the effect of the disease is mild.</t>
  </si>
  <si>
    <t>So this disease decreases and disappears.</t>
  </si>
  <si>
    <t>They say it’s the mark of the beast that will be placed in our body so the Antichrist can rule over us.</t>
  </si>
  <si>
    <t>Yes, I had fever with all doses received.</t>
  </si>
  <si>
    <t>I tell my family and neighbors so the disease disappears.</t>
  </si>
  <si>
    <t>Sneezing, coughing.</t>
  </si>
  <si>
    <t>5 – 7 days.</t>
  </si>
  <si>
    <t>Back pain, fever, stomach pain, headache, sore throat, loss of taste and smell.</t>
  </si>
  <si>
    <t>Because of rising temperature, that is fever.</t>
  </si>
  <si>
    <t>Frequent alcohol use when going out.</t>
  </si>
  <si>
    <t>All the time, only remove to eat.</t>
  </si>
  <si>
    <t>They protect during talking and sneezing.</t>
  </si>
  <si>
    <t>The vaccine is to protect oneself from COVID.</t>
  </si>
  <si>
    <t>To prevent COVID, so there’s no infection.</t>
  </si>
  <si>
    <t>Evangelicals believe they shouldn’t be vaccinated because it’s the mark of the beast.</t>
  </si>
  <si>
    <t>To prevent the spread of COVID.</t>
  </si>
  <si>
    <t>Through breathing and by spreading particles when talking.</t>
  </si>
  <si>
    <t>14 days.</t>
  </si>
  <si>
    <t>Fever, dry cough, sneezing, headache, bone pain and whole body pain.</t>
  </si>
  <si>
    <t>Immediately.</t>
  </si>
  <si>
    <t>Healthy eating and lots of water.</t>
  </si>
  <si>
    <t>When in meetings and public places, when having flu symptoms to avoid infecting others.</t>
  </si>
  <si>
    <t>To avoid virus particles spreading.</t>
  </si>
  <si>
    <t>It depends on the mask — if it’s simple, use and discard; KN95 can be used at least three times.</t>
  </si>
  <si>
    <t>A prevention so as not to risk health and to avoid getting sick; it is only prevention.</t>
  </si>
  <si>
    <t>To stop spreading it to others and for prevention.</t>
  </si>
  <si>
    <t>Out of fear that the vaccine may bring other diseases, and others believe it’s the virus itself and will infect them. They also say it weakens them after the first dose.</t>
  </si>
  <si>
    <t>Yes, with all three doses I had chills, sweating, and shoulder pain where I got the shot.</t>
  </si>
  <si>
    <t>So the disease can be prevented.</t>
  </si>
  <si>
    <t>Through sneezing on another person's face.</t>
  </si>
  <si>
    <t>3 – 4 days.</t>
  </si>
  <si>
    <t>Sore throat, headache, fever, no motivation, cough, nasal mucus.</t>
  </si>
  <si>
    <t>Perhaps when there is a symptom.</t>
  </si>
  <si>
    <t>When exposed to public places or with more than three people.</t>
  </si>
  <si>
    <t>Masks don’t fully protect; depends on mask type, KN95 protects but simple ones don’t.</t>
  </si>
  <si>
    <t>It’s not possible, nor is it allowed.</t>
  </si>
  <si>
    <t>All 100% no</t>
  </si>
  <si>
    <t>It’s an antidote that protects us, because it’s made from the same virus.</t>
  </si>
  <si>
    <t>To avoid getting it, even though it doesn’t guarantee it—and if we do get it, it may not be severe.</t>
  </si>
  <si>
    <t>They believe they never got sick and so don’t need it.</t>
  </si>
  <si>
    <t>Arm pain with all 3 doses; with the second, I had chills because I bathed.</t>
  </si>
  <si>
    <t>It’s a way to protect others and yourself.</t>
  </si>
  <si>
    <t>Incomplete primary school</t>
  </si>
  <si>
    <t>It infects when with this disease they touch things where the virus remains, in food, money, thus getting infected.</t>
  </si>
  <si>
    <t>Symptoms show at 5 days and intensify at 7 days.</t>
  </si>
  <si>
    <t>Headache, fever, dry cough, back pain and chills.</t>
  </si>
  <si>
    <t>When having back pain, fever and chills.</t>
  </si>
  <si>
    <t>When going to the street, entering large stores, banks, markets, at meetings or traveling.</t>
  </si>
  <si>
    <t>the nose, the mouth, and the chin</t>
  </si>
  <si>
    <t>Of course they can protect, but also need other biosecurity measures.</t>
  </si>
  <si>
    <t>It should not be reused.</t>
  </si>
  <si>
    <t>It might be protection.</t>
  </si>
  <si>
    <t>Everyone should get vaccinated so the disease doesn’t infect us and it protects us.</t>
  </si>
  <si>
    <t>After the first dose, I didn’t feel like doing anything, and my arm hurt.</t>
  </si>
  <si>
    <t>So there is no transmission—so they are protected.</t>
  </si>
  <si>
    <t>Through the respiratory tract.</t>
  </si>
  <si>
    <t>Nowadays more or less in 5 days.</t>
  </si>
  <si>
    <t>Headache, body feels cold.</t>
  </si>
  <si>
    <t>From first symptom one sees as possibly related.</t>
  </si>
  <si>
    <t>Wear a mask, wash hands frequently, maintain social distancing, get vaccinated, All</t>
  </si>
  <si>
    <t>Eat properly.</t>
  </si>
  <si>
    <t>Closed and also some open spaces.</t>
  </si>
  <si>
    <t>Good KN95 masks avoid direct transmission.</t>
  </si>
  <si>
    <t>Personally, no — but I know some can be reused, though it's hard to know for how long.</t>
  </si>
  <si>
    <t>It’s what they say will protect us from the disease and help us build immunity.</t>
  </si>
  <si>
    <t>That way we protect ourselves and others.</t>
  </si>
  <si>
    <t>They may not be well-informed or don’t believe in vaccines.</t>
  </si>
  <si>
    <t>Four</t>
  </si>
  <si>
    <t>With the last one, yes—irritation in the arm.</t>
  </si>
  <si>
    <t>Right now, it’s the only protection we have, so everyone should get vaccinated and leave behind negative thinking that in the long run could cost more human lives.</t>
  </si>
  <si>
    <t>University education</t>
  </si>
  <si>
    <t>Health center, Social media (Facebook, Twitter, Messenger, Telegram, WhatsApp), Radio, TV, Friends, Relatives</t>
  </si>
  <si>
    <t>When they don't have complete vaccines, don't respect social distancing, don't maintain constant hygiene and handwashing.</t>
  </si>
  <si>
    <t>About a week.</t>
  </si>
  <si>
    <t>Body discomfort, throat roughness, diarrhea, fever.</t>
  </si>
  <si>
    <t>When having any symptom or if a family member/person close was in contact and tested positive.</t>
  </si>
  <si>
    <t>Avoid contact with infected people.</t>
  </si>
  <si>
    <t>All the time when outside, in school, on bus, on train, etc.</t>
  </si>
  <si>
    <t>Help stop virus spread and prevent further contagion.</t>
  </si>
  <si>
    <t>It’s a solution, it’s an antivirus.</t>
  </si>
  <si>
    <t>People must get vaccinated to avoid getting sick.</t>
  </si>
  <si>
    <t>Unfortunately, everyone has their own opinion, and they’re being given the option to choose whether to get vaccinated. Personally, it should be mandatory to protect the population.</t>
  </si>
  <si>
    <t>Just normal—arm pain, some discomfort, but nothing major.</t>
  </si>
  <si>
    <t>I would suggest they get vaccinated—this way they’re safer from infection and protect their household.</t>
  </si>
  <si>
    <t>Professional</t>
  </si>
  <si>
    <t>Non-university higher education</t>
  </si>
  <si>
    <t>Through contact with an infected person (sneezing, coughing).</t>
  </si>
  <si>
    <t>5 to 7 days.</t>
  </si>
  <si>
    <t>General body discomfort, sneezing, fever, loss of taste and smell, shortness of breath.</t>
  </si>
  <si>
    <t>Difficulty breathing, saturation &gt;96.</t>
  </si>
  <si>
    <t>At all times when outside the house.</t>
  </si>
  <si>
    <t>Primary tool to avoid COVID-19 infection.</t>
  </si>
  <si>
    <t>It’s the protection that allows humans to avoid a more severe case of the disease.</t>
  </si>
  <si>
    <t>To protect themselves and reduce the death rate.</t>
  </si>
  <si>
    <t>Because of a lack of information.</t>
  </si>
  <si>
    <t>Pain at the injection site, headache, and occasional body pain.</t>
  </si>
  <si>
    <t>Yes, I recommend it—because that way we’ll be protected and avoid infecting others.</t>
  </si>
  <si>
    <t>Still studying technical graphic design at IDAT</t>
  </si>
  <si>
    <t>By not keeping distance and not wearing the mask properly.</t>
  </si>
  <si>
    <t>Very high.</t>
  </si>
  <si>
    <t>Sleepiness, sore throat, fever, all cold symptoms.</t>
  </si>
  <si>
    <t>When over a week or 15 days with symptoms and they don’t improve with normal cold meds.</t>
  </si>
  <si>
    <t>In buses, malls, places with many people.</t>
  </si>
  <si>
    <t>They avoid us breathing same air exhaled by infected person.</t>
  </si>
  <si>
    <t>In some cases yes, when they are cloth masks, because they can be washed.</t>
  </si>
  <si>
    <t>You must wash your hands if you touch your nose or mouth, You must wash your hands upon returning home</t>
  </si>
  <si>
    <t>It’s to block the COVID-19 virus and strengthen defenses.</t>
  </si>
  <si>
    <t>It helps us all be protected and protect those around us.</t>
  </si>
  <si>
    <t>Because they say the vaccine reactivates dormant diseases.</t>
  </si>
  <si>
    <t>I had symptoms like arm pain and headache after being vaccinated.</t>
  </si>
  <si>
    <t>I recommend that everyone gets vaccinated so we can return to normal and not be afraid of being infected.</t>
  </si>
  <si>
    <t>Central government, Local government (regional, municipal, etc.), Social media (Facebook, Twitter, Messenger, Telegram, WhatsApp), Relatives</t>
  </si>
  <si>
    <t>Cough.</t>
  </si>
  <si>
    <t>24 hours.</t>
  </si>
  <si>
    <t>Cough and fever.</t>
  </si>
  <si>
    <t>Help avoid dispersing virus.</t>
  </si>
  <si>
    <t>A cure.</t>
  </si>
  <si>
    <t>To avoid infections.</t>
  </si>
  <si>
    <t>Because of bad information.</t>
  </si>
  <si>
    <t>Only arm pain.</t>
  </si>
  <si>
    <t>Because it’s a responsibility.</t>
  </si>
  <si>
    <t>Incomplete university education</t>
  </si>
  <si>
    <t>Community posters/announcements, Social media (Facebook, Twitter, Messenger, Telegram, WhatsApp), Radio, TV, Internet, Friends, Relatives</t>
  </si>
  <si>
    <t>Through particles or droplets expelled when people breathe or talk.</t>
  </si>
  <si>
    <t>3/5 days.</t>
  </si>
  <si>
    <t>General discomfort, congestion, headache, fever, breathing difficulty.</t>
  </si>
  <si>
    <t>When living with vulnerable people or with breathing difficulty or severe discomfort.</t>
  </si>
  <si>
    <t>When in contact with people not living with you.</t>
  </si>
  <si>
    <t>Effective ~90%, prevent particle entry.</t>
  </si>
  <si>
    <t>Yes, as long as they are not wet.</t>
  </si>
  <si>
    <t>They are a tool for prevention against the disease.</t>
  </si>
  <si>
    <t>To stop the spread of the disease.</t>
  </si>
  <si>
    <t>Misinformation.</t>
  </si>
  <si>
    <t>Menstrual delay.</t>
  </si>
  <si>
    <t>To avoid it becoming deadly in case they get infected.</t>
  </si>
  <si>
    <t>Social media (Facebook, Twitter, Messenger, Telegram, WhatsApp), Radio, TV</t>
  </si>
  <si>
    <t>Through breath.</t>
  </si>
  <si>
    <t>They say it’s five days or a week.</t>
  </si>
  <si>
    <t>Fever, throat roughness, cough, weakness, loose stomach.</t>
  </si>
  <si>
    <t>When having high temperature, swollen throat, can’t breathe, or loose stomach.</t>
  </si>
  <si>
    <t>Eat as best as possible. Use ginger in food.</t>
  </si>
  <si>
    <t>When there are large crowds.</t>
  </si>
  <si>
    <t>Protecting us so virus doesn’t filter in.</t>
  </si>
  <si>
    <t>elderly people, people with diabetes, with high blood pressure, Type 1 diabetics or severe cases</t>
  </si>
  <si>
    <t>Something that protects.</t>
  </si>
  <si>
    <t>To not get sick.</t>
  </si>
  <si>
    <t>Because they’ve been misinformed. A group of people believes the vaccine is harmful.</t>
  </si>
  <si>
    <t>Yes, fever, body aches, dizziness.</t>
  </si>
  <si>
    <t>No, because it’s each person’s decision. I can say “get vaccinated,” but I can’t force anyone. If I tell someone and they die, they could blame me.</t>
  </si>
  <si>
    <t>Community posters/announcements, Health center, Radio, TV, Friends, Relatives</t>
  </si>
  <si>
    <t>Exposing oneself without respecting social distancing and not getting vaccinated.</t>
  </si>
  <si>
    <t>In a week.</t>
  </si>
  <si>
    <t>Cough, fever, general discomfort.</t>
  </si>
  <si>
    <t>When having any symptom and above all tested positive for COVID-19.</t>
  </si>
  <si>
    <t>Ventilate spaces, cover when coughing or sneezing.</t>
  </si>
  <si>
    <t>When sick to avoid spreading virus and when going out, actually all the time.</t>
  </si>
  <si>
    <t>Prevent virus spread.</t>
  </si>
  <si>
    <t>It’s an antivirus.</t>
  </si>
  <si>
    <t>To avoid getting sick and/or spreading the virus.</t>
  </si>
  <si>
    <t>Because of their beliefs or lack of information, even though it’s talked about everywhere, many still don’t want to get vaccinated.</t>
  </si>
  <si>
    <t>A bit of discomfort, but it was manageable.</t>
  </si>
  <si>
    <t>Yes, I recommend it—it’s necessary to control the situation and for everyone to be vaccinated.</t>
  </si>
  <si>
    <t>Central government, Local government (regional, municipal, etc.), Health center, Social media (Facebook, Twitter, Messenger, Telegram, WhatsApp)</t>
  </si>
  <si>
    <t>When someone coughs or sneezes in front of a healthy person.</t>
  </si>
  <si>
    <t>From one to fourteen days.</t>
  </si>
  <si>
    <t>Dry cough, fever, tiredness, headache.</t>
  </si>
  <si>
    <t>Immediately, at first symptom.</t>
  </si>
  <si>
    <t>When going to public places.</t>
  </si>
  <si>
    <t>Prevent droplets from being inhaled by others.</t>
  </si>
  <si>
    <t>Only cloth ones.</t>
  </si>
  <si>
    <t>It’s the vaccine to prevent the disease caused by SARS-CoV-2.</t>
  </si>
  <si>
    <t>To avoid becoming seriously ill.</t>
  </si>
  <si>
    <t>Because they don’t trust vaccines that were made so quickly.</t>
  </si>
  <si>
    <t>Yes, fever, shoulder pain, discomfort.</t>
  </si>
  <si>
    <t>It's a personal decision</t>
  </si>
  <si>
    <t>It’s each person’s choice whether to get vaccinated.</t>
  </si>
  <si>
    <t>From person to person, through sneezing and coughing.</t>
  </si>
  <si>
    <t>1 week.</t>
  </si>
  <si>
    <t>Cough, fever, loss of smell, headache and body pain.</t>
  </si>
  <si>
    <t>1 day.</t>
  </si>
  <si>
    <t>When having contact with people.</t>
  </si>
  <si>
    <t>Protect from contagion.</t>
  </si>
  <si>
    <t>Protection to not get infected. An antibody.</t>
  </si>
  <si>
    <t>To prevent infections.</t>
  </si>
  <si>
    <t>Ignorance.</t>
  </si>
  <si>
    <t>Because it’s a way to protect yourself from the virus.</t>
  </si>
  <si>
    <t>I don't have (an answer).</t>
  </si>
  <si>
    <t>The next day.</t>
  </si>
  <si>
    <t>Fever, general discomfort.</t>
  </si>
  <si>
    <t>Soon.</t>
  </si>
  <si>
    <t>Wear a mask, wash hands frequently, All</t>
  </si>
  <si>
    <t>In closed places.</t>
  </si>
  <si>
    <t>Cover from small particles.</t>
  </si>
  <si>
    <t>It’s so we don’t end up like that.</t>
  </si>
  <si>
    <t>To prevent.</t>
  </si>
  <si>
    <t>They fear many things that have been said.</t>
  </si>
  <si>
    <t>Through coughing, sneezing, and physical contact.</t>
  </si>
  <si>
    <t>I think 3 days.</t>
  </si>
  <si>
    <t>Headache, fever and chills.</t>
  </si>
  <si>
    <t>When fever does not go down.</t>
  </si>
  <si>
    <t>Always when there are more people.</t>
  </si>
  <si>
    <t>Protect us when talking.</t>
  </si>
  <si>
    <t>Preferably not.</t>
  </si>
  <si>
    <t>A form of protection.</t>
  </si>
  <si>
    <t>To be more protected.</t>
  </si>
  <si>
    <t>Out of fear of side effects.</t>
  </si>
  <si>
    <t>A bit of headache, but it went away.</t>
  </si>
  <si>
    <t>I recommend it so we’re all protected.</t>
  </si>
  <si>
    <t>Social media (Facebook, Twitter, Messenger, Telegram, WhatsApp), TV, Friends</t>
  </si>
  <si>
    <t>By not wearing a mask.</t>
  </si>
  <si>
    <t>Headache, fever and general discomfort.</t>
  </si>
  <si>
    <t>When lacking oxygen.</t>
  </si>
  <si>
    <t>At all times.</t>
  </si>
  <si>
    <t>Protect from virus.</t>
  </si>
  <si>
    <t>Protection.</t>
  </si>
  <si>
    <t>To avoid the virus.</t>
  </si>
  <si>
    <t>It’s not proven.</t>
  </si>
  <si>
    <t>Recommended up to the third dose.</t>
  </si>
  <si>
    <t>Social media (Facebook, Twitter, Messenger, Telegram, WhatsApp), Radio, TV, Internet, Friends, Relatives, All</t>
  </si>
  <si>
    <t>Not wearing a mask.</t>
  </si>
  <si>
    <t>Headache, fever and cough.</t>
  </si>
  <si>
    <t>When saturation is low.</t>
  </si>
  <si>
    <t>To protect us.</t>
  </si>
  <si>
    <t>Protection against the virus.</t>
  </si>
  <si>
    <t>To not get infected.</t>
  </si>
  <si>
    <t>Because it’s an experiment.</t>
  </si>
  <si>
    <t>Yes, so we don’t get sick.</t>
  </si>
  <si>
    <t>Central government, Local government (regional, municipal, etc.)</t>
  </si>
  <si>
    <t>Contact.</t>
  </si>
  <si>
    <t>Keep spaces ventilated, avoid social contact, maintain social bubbles.</t>
  </si>
  <si>
    <t>the mouth</t>
  </si>
  <si>
    <t>To put on.</t>
  </si>
  <si>
    <t xml:space="preserve"> You must wash your hands if you touch your nose or mouth</t>
  </si>
  <si>
    <t>It’s a booster.</t>
  </si>
  <si>
    <t>For their health.</t>
  </si>
  <si>
    <t>Out of fear.</t>
  </si>
  <si>
    <t>Internet, Friends</t>
  </si>
  <si>
    <t>From person to person.</t>
  </si>
  <si>
    <t>Fever, muscle pain, flu.</t>
  </si>
  <si>
    <t>Always, to avoid spreading the virus.</t>
  </si>
  <si>
    <t>Prayer, Psalm 91.</t>
  </si>
  <si>
    <t>On the street and in contact with people outside the household.</t>
  </si>
  <si>
    <t>They protect.</t>
  </si>
  <si>
    <t>It’s the weakened virus that creates antibodies.</t>
  </si>
  <si>
    <t>So their body is prepared for the virus.</t>
  </si>
  <si>
    <t>They think it weakens you.</t>
  </si>
  <si>
    <t>Arm pain.</t>
  </si>
  <si>
    <t>So we don’t die.</t>
  </si>
  <si>
    <t>Central government, Local government (regional, municipal, etc.), Social media (Facebook, Twitter, Messenger, Telegram, WhatsApp)</t>
  </si>
  <si>
    <t>Through particles emitted by a person with COVID.</t>
  </si>
  <si>
    <t>3 to 7 days.</t>
  </si>
  <si>
    <t>Discomfort, fever, cough, lack of oxygen.</t>
  </si>
  <si>
    <t>When you have at least two symptoms.</t>
  </si>
  <si>
    <t>Good nutrition, exercise.</t>
  </si>
  <si>
    <t>Each time going to the street.</t>
  </si>
  <si>
    <t>Prevent particles from entering.</t>
  </si>
  <si>
    <t>Prevents symptoms from worsening.</t>
  </si>
  <si>
    <t>To lessen the symptoms.</t>
  </si>
  <si>
    <t>Because it’s modifying DNA.</t>
  </si>
  <si>
    <t>Because it reduces the severity of symptoms.</t>
  </si>
  <si>
    <t>Community posters/announcements, Health center, Social media (Facebook, Twitter, Messenger, Telegram, WhatsApp), Radio, TV, All</t>
  </si>
  <si>
    <t>Through saliva.</t>
  </si>
  <si>
    <t>Throat itchiness, body discomfort, cough.</t>
  </si>
  <si>
    <t>When your saturation is below 90.</t>
  </si>
  <si>
    <t>In closed places and when feeling flu symptoms.</t>
  </si>
  <si>
    <t>Help protect when near someone with COVID.</t>
  </si>
  <si>
    <t>It’s a retroviral.</t>
  </si>
  <si>
    <t>To have antibodies against the virus.</t>
  </si>
  <si>
    <t>Out of fear and misinformation.</t>
  </si>
  <si>
    <t>Yes, body pain, fever.</t>
  </si>
  <si>
    <t>Yes, I recommend it because it’s the best way to protect ourselves against the virus and prevent it from being fatal.</t>
  </si>
  <si>
    <t>Social media (Facebook, Twitter, Messenger, Telegram, WhatsApp), Radio, TV, Internet</t>
  </si>
  <si>
    <t>By being in closed spaces.</t>
  </si>
  <si>
    <t>Cough, fever, body discomfort, loss of taste, etc.</t>
  </si>
  <si>
    <t>Before 7 days.</t>
  </si>
  <si>
    <t>Avoid crowded places.</t>
  </si>
  <si>
    <t>Always when going out.</t>
  </si>
  <si>
    <t>It is necessary to wash your hands after caring for a sick person</t>
  </si>
  <si>
    <t>That attenuates the same disease.</t>
  </si>
  <si>
    <t>To save our lives.</t>
  </si>
  <si>
    <t>Out of fear and lack of knowledge.</t>
  </si>
  <si>
    <t>So they are protected.</t>
  </si>
  <si>
    <t>Health center, Social media (Facebook, Twitter, Messenger, Telegram, WhatsApp), Internet</t>
  </si>
  <si>
    <t>Coughing or sneezing in front of another person.</t>
  </si>
  <si>
    <t>3 to 15 days.</t>
  </si>
  <si>
    <t>Fever, cough, sore throat and discomfort.</t>
  </si>
  <si>
    <t>As soon as having a symptom.</t>
  </si>
  <si>
    <t>When entering crowded places.</t>
  </si>
  <si>
    <t>Protect from inhaling droplets from others.</t>
  </si>
  <si>
    <t>A vaccine that prevents SARS-CoV disease.</t>
  </si>
  <si>
    <t>So the disease isn’t deadly.</t>
  </si>
  <si>
    <t>Because they are trial vaccines.</t>
  </si>
  <si>
    <t>Yes, fever, discomfort.</t>
  </si>
  <si>
    <t>Yes, I recommend it to protect against the virus.</t>
  </si>
  <si>
    <t>Complete education</t>
  </si>
  <si>
    <t>Breathing.</t>
  </si>
  <si>
    <t>High fevers and shortness of breath.</t>
  </si>
  <si>
    <t>Fumigate.</t>
  </si>
  <si>
    <t>In closed spaces.</t>
  </si>
  <si>
    <t>Using and replacing them.</t>
  </si>
  <si>
    <t>Protection to prevent.</t>
  </si>
  <si>
    <t>Fear.</t>
  </si>
  <si>
    <t>Yes, because it’s the only form of protection.</t>
  </si>
  <si>
    <t>Unemployed</t>
  </si>
  <si>
    <t>Technician</t>
  </si>
  <si>
    <t>Through coughing, sneezing.</t>
  </si>
  <si>
    <t>Fever, cough, sore throat.</t>
  </si>
  <si>
    <t>When having difficulty breathing.</t>
  </si>
  <si>
    <t>When in closed spaces.</t>
  </si>
  <si>
    <t>Stop bacteria expulsion when talking.</t>
  </si>
  <si>
    <t>No, because it would already be contaminated.</t>
  </si>
  <si>
    <t>It’s to prevent it from being harmful to us.</t>
  </si>
  <si>
    <t>Due to ideas and religions they follow.</t>
  </si>
  <si>
    <t>Yes, chills with the third dose.</t>
  </si>
  <si>
    <t>I recommend it because it helps boost our immune system.</t>
  </si>
  <si>
    <t>Completed technical education</t>
  </si>
  <si>
    <t>Central government, Local government (regional, municipal, etc.), Social media (Facebook, Twitter, Messenger, Telegram, WhatsApp), TV, Internet, Friends</t>
  </si>
  <si>
    <t>4 days.</t>
  </si>
  <si>
    <t>Starts like a cold.</t>
  </si>
  <si>
    <t>When more than four days with flu.</t>
  </si>
  <si>
    <t>No gatherings with friends or family, use alcohol.</t>
  </si>
  <si>
    <t>Prevent virus entry to respiratory system.</t>
  </si>
  <si>
    <t>It’s a booster to avoid infection.</t>
  </si>
  <si>
    <t>Lack of information.</t>
  </si>
  <si>
    <t>Yes, headache.</t>
  </si>
  <si>
    <t>Yes, because that way they’ll be more protected.</t>
  </si>
  <si>
    <t>Community posters/announcements, Health center, Social media (Facebook, Twitter, Messenger, Telegram, WhatsApp), Radio, TV, Internet, Friends, Relatives</t>
  </si>
  <si>
    <t>Through contact and coughing and sneezing.</t>
  </si>
  <si>
    <t>Nasal congestion, cough, high fever, bone pain, fatigue, shortness of breath, loss of taste.</t>
  </si>
  <si>
    <t>When having nasal congestion, high fever, etc.</t>
  </si>
  <si>
    <t>When leaving home or with symptoms.</t>
  </si>
  <si>
    <t>Worn properly and double masking.</t>
  </si>
  <si>
    <t>Yes, it is very important.</t>
  </si>
  <si>
    <t>It’s a dose.</t>
  </si>
  <si>
    <t>To stop the coronavirus.</t>
  </si>
  <si>
    <t>Because of bad information from others.</t>
  </si>
  <si>
    <t>Chills and arm pain.</t>
  </si>
  <si>
    <t>Yes, I recommend it to control the disease.</t>
  </si>
  <si>
    <t>Through crowding, sneezing, etc.</t>
  </si>
  <si>
    <t>Cough, fever, headache, etc.</t>
  </si>
  <si>
    <t>To protect oneself.</t>
  </si>
  <si>
    <t>A dose.</t>
  </si>
  <si>
    <t>To stay healthy.</t>
  </si>
  <si>
    <t>Because of ideologies.</t>
  </si>
  <si>
    <t>Yes, because it helps fight COVID-19.</t>
  </si>
  <si>
    <t>Eighth cycle of university</t>
  </si>
  <si>
    <t>Social media (Facebook, Twitter, Messenger, Telegram, WhatsApp), Internet, Relatives</t>
  </si>
  <si>
    <t>By having direct contact with a COVID carrier.</t>
  </si>
  <si>
    <t>From 3 to 7 days.</t>
  </si>
  <si>
    <t>Fever, cold, headache, sore throat, cough, fatigue.</t>
  </si>
  <si>
    <t>When I have fever symptoms.</t>
  </si>
  <si>
    <t>n/a</t>
  </si>
  <si>
    <t>On the street and in crowded places.</t>
  </si>
  <si>
    <t>Help reduce contagion by 80%.</t>
  </si>
  <si>
    <t>To counter the virus in your body.</t>
  </si>
  <si>
    <t>To be at least 80% protected.</t>
  </si>
  <si>
    <t>They feel safe.</t>
  </si>
  <si>
    <t>Because in some way it counteracts a virus outbreak.</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</si>
</sst>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10.86"/>
    <col customWidth="1" min="8" max="8" width="37.0"/>
    <col customWidth="1" min="9" max="9" width="10.86"/>
    <col customWidth="1" min="10" max="11" width="19.29"/>
    <col customWidth="1" min="12" max="13" width="10.86"/>
    <col customWidth="1" min="14" max="14" width="44.43"/>
    <col customWidth="1" min="15" max="15" width="15.57"/>
    <col customWidth="1" min="16" max="16" width="31.14"/>
    <col customWidth="1" min="17" max="22" width="10.86"/>
    <col customWidth="1" min="23" max="23" width="8.71"/>
    <col customWidth="1" min="24" max="25" width="10.86"/>
    <col customWidth="1" min="26" max="26" width="8.71"/>
    <col customWidth="1" min="27" max="29" width="10.86"/>
    <col customWidth="1" min="30" max="30" width="31.43"/>
    <col customWidth="1" min="31" max="33" width="30.43"/>
    <col customWidth="1" min="34" max="34" width="10.86"/>
    <col customWidth="1" min="35" max="35" width="26.57"/>
    <col customWidth="1" min="36" max="37" width="11.43"/>
    <col customWidth="1" min="38" max="38" width="31.57"/>
    <col customWidth="1" min="39" max="41" width="23.57"/>
    <col customWidth="1" min="42" max="42" width="8.71"/>
    <col customWidth="1" min="43" max="43" width="34.57"/>
    <col customWidth="1" min="44" max="45" width="5.57"/>
    <col customWidth="1" min="46" max="46" width="18.29"/>
    <col customWidth="1" min="47" max="52" width="18.14"/>
    <col customWidth="1" min="53" max="55" width="22.57"/>
    <col customWidth="1" min="56" max="57" width="10.86"/>
    <col customWidth="1" min="58" max="58" width="21.14"/>
    <col customWidth="1" min="59" max="61" width="30.43"/>
    <col customWidth="1" min="62" max="63" width="10.86"/>
    <col customWidth="1" min="64" max="64" width="21.57"/>
    <col customWidth="1" min="65" max="67" width="30.43"/>
    <col customWidth="1" min="68" max="69" width="8.71"/>
    <col customWidth="1" min="70" max="70" width="143.57"/>
    <col customWidth="1" min="71" max="73" width="22.43"/>
    <col customWidth="1" min="74" max="76" width="26.57"/>
    <col customWidth="1" min="77" max="79" width="24.57"/>
    <col customWidth="1" min="80" max="80" width="28.86"/>
    <col customWidth="1" min="81" max="81" width="23.29"/>
    <col customWidth="1" min="82" max="82" width="22.57"/>
    <col customWidth="1" min="83" max="83" width="33.14"/>
    <col customWidth="1" min="84" max="85" width="26.43"/>
    <col customWidth="1" min="86" max="86" width="12.86"/>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2" t="s">
        <v>31</v>
      </c>
      <c r="AG1" s="1" t="s">
        <v>32</v>
      </c>
      <c r="AH1" s="2" t="s">
        <v>33</v>
      </c>
      <c r="AI1" s="1" t="s">
        <v>34</v>
      </c>
      <c r="AJ1" s="2" t="s">
        <v>35</v>
      </c>
      <c r="AK1" s="2" t="s">
        <v>36</v>
      </c>
      <c r="AL1" s="1" t="s">
        <v>37</v>
      </c>
      <c r="AM1" s="2" t="s">
        <v>38</v>
      </c>
      <c r="AN1" s="2" t="s">
        <v>39</v>
      </c>
      <c r="AO1" s="1" t="s">
        <v>40</v>
      </c>
      <c r="AP1" s="2" t="s">
        <v>41</v>
      </c>
      <c r="AQ1" s="1" t="s">
        <v>42</v>
      </c>
      <c r="AR1" s="2" t="s">
        <v>43</v>
      </c>
      <c r="AS1" s="2" t="s">
        <v>44</v>
      </c>
      <c r="AT1" s="1" t="s">
        <v>45</v>
      </c>
      <c r="AU1" s="2" t="s">
        <v>46</v>
      </c>
      <c r="AV1" s="2" t="s">
        <v>47</v>
      </c>
      <c r="AW1" s="1" t="s">
        <v>48</v>
      </c>
      <c r="AX1" s="2" t="s">
        <v>49</v>
      </c>
      <c r="AY1" s="2" t="s">
        <v>50</v>
      </c>
      <c r="AZ1" s="1" t="s">
        <v>51</v>
      </c>
      <c r="BA1" s="2" t="s">
        <v>52</v>
      </c>
      <c r="BB1" s="2" t="s">
        <v>53</v>
      </c>
      <c r="BC1" s="1" t="s">
        <v>54</v>
      </c>
      <c r="BD1" s="2" t="s">
        <v>55</v>
      </c>
      <c r="BE1" s="2" t="s">
        <v>56</v>
      </c>
      <c r="BF1" s="1" t="s">
        <v>57</v>
      </c>
      <c r="BG1" s="2" t="s">
        <v>58</v>
      </c>
      <c r="BH1" s="2" t="s">
        <v>59</v>
      </c>
      <c r="BI1" s="1" t="s">
        <v>60</v>
      </c>
      <c r="BJ1" s="2" t="s">
        <v>61</v>
      </c>
      <c r="BK1" s="2" t="s">
        <v>62</v>
      </c>
      <c r="BL1" s="1" t="s">
        <v>63</v>
      </c>
      <c r="BM1" s="2" t="s">
        <v>64</v>
      </c>
      <c r="BN1" s="2" t="s">
        <v>65</v>
      </c>
      <c r="BO1" s="1" t="s">
        <v>66</v>
      </c>
      <c r="BP1" s="2" t="s">
        <v>67</v>
      </c>
      <c r="BQ1" s="2" t="s">
        <v>68</v>
      </c>
      <c r="BR1" s="1" t="s">
        <v>69</v>
      </c>
      <c r="BS1" s="2" t="s">
        <v>70</v>
      </c>
      <c r="BT1" s="2" t="s">
        <v>71</v>
      </c>
      <c r="BU1" s="1" t="s">
        <v>72</v>
      </c>
      <c r="BV1" s="2" t="s">
        <v>73</v>
      </c>
      <c r="BW1" s="2" t="s">
        <v>74</v>
      </c>
      <c r="BX1" s="1" t="s">
        <v>75</v>
      </c>
      <c r="BY1" s="2" t="s">
        <v>76</v>
      </c>
      <c r="BZ1" s="2" t="s">
        <v>77</v>
      </c>
      <c r="CA1" s="1" t="s">
        <v>78</v>
      </c>
      <c r="CB1" s="1" t="s">
        <v>79</v>
      </c>
      <c r="CC1" s="1" t="s">
        <v>80</v>
      </c>
      <c r="CD1" s="1" t="s">
        <v>81</v>
      </c>
      <c r="CE1" s="1" t="s">
        <v>82</v>
      </c>
      <c r="CF1" s="1" t="s">
        <v>83</v>
      </c>
      <c r="CG1" s="1" t="s">
        <v>84</v>
      </c>
      <c r="CH1" s="1" t="s">
        <v>85</v>
      </c>
    </row>
    <row r="2" ht="14.25" customHeight="1">
      <c r="A2" s="3">
        <v>44638.7509192824</v>
      </c>
      <c r="B2" s="3" t="s">
        <v>86</v>
      </c>
      <c r="C2" s="3">
        <f t="shared" ref="C2:C145" si="1">IF(B2="female",1,0)</f>
        <v>1</v>
      </c>
      <c r="D2" s="3" t="s">
        <v>87</v>
      </c>
      <c r="E2" s="3" t="s">
        <v>88</v>
      </c>
      <c r="F2" s="3">
        <f t="shared" ref="F2:F145" si="2">IF(E2="A",0,IF(E2="B",1,IF(E2="C",2,IF(E2="D",3))))</f>
        <v>1</v>
      </c>
      <c r="G2" s="3" t="s">
        <v>89</v>
      </c>
      <c r="H2" s="3" t="s">
        <v>90</v>
      </c>
      <c r="I2" s="3">
        <v>4.0</v>
      </c>
      <c r="J2" s="3" t="s">
        <v>91</v>
      </c>
      <c r="K2" s="3">
        <f t="shared" ref="K2:K145" si="3">IF(J2="indigenous and other languages",1,IF(J2="indigenous language",0,IF(J2="non-indigenous language",2,4)))</f>
        <v>1</v>
      </c>
      <c r="L2" s="3" t="s">
        <v>92</v>
      </c>
      <c r="M2" s="3">
        <f t="shared" ref="M2:M145" si="4">IF(L2="Spanish",1,0)</f>
        <v>1</v>
      </c>
      <c r="N2" s="4"/>
      <c r="O2" s="3" t="s">
        <v>93</v>
      </c>
      <c r="P2" s="3" t="s">
        <v>94</v>
      </c>
      <c r="Q2" s="3">
        <v>0.0</v>
      </c>
      <c r="R2" s="3">
        <v>0.0</v>
      </c>
      <c r="S2" s="3">
        <v>0.0</v>
      </c>
      <c r="T2" s="3">
        <v>0.0</v>
      </c>
      <c r="U2" s="3">
        <v>0.0</v>
      </c>
      <c r="V2" s="3">
        <v>0.0</v>
      </c>
      <c r="W2" s="3">
        <v>0.0</v>
      </c>
      <c r="X2" s="3">
        <v>0.0</v>
      </c>
      <c r="Y2" s="3">
        <v>0.0</v>
      </c>
      <c r="Z2" s="3">
        <v>0.0</v>
      </c>
      <c r="AA2" s="3">
        <v>1.0</v>
      </c>
      <c r="AB2" s="3">
        <v>0.0</v>
      </c>
      <c r="AC2" s="3">
        <v>0.0</v>
      </c>
      <c r="AD2" s="3" t="s">
        <v>95</v>
      </c>
      <c r="AE2" s="5" t="s">
        <v>96</v>
      </c>
      <c r="AF2" s="5">
        <v>1.0</v>
      </c>
      <c r="AG2" s="3" t="s">
        <v>97</v>
      </c>
      <c r="AH2" s="3">
        <v>1.0</v>
      </c>
      <c r="AI2" s="3" t="s">
        <v>98</v>
      </c>
      <c r="AJ2" s="5" t="s">
        <v>99</v>
      </c>
      <c r="AK2" s="5">
        <v>1.0</v>
      </c>
      <c r="AL2" s="3" t="s">
        <v>100</v>
      </c>
      <c r="AM2" s="5" t="s">
        <v>101</v>
      </c>
      <c r="AN2" s="5">
        <v>0.75</v>
      </c>
      <c r="AO2" s="3" t="s">
        <v>97</v>
      </c>
      <c r="AP2" s="3">
        <v>1.0</v>
      </c>
      <c r="AQ2" s="3" t="s">
        <v>102</v>
      </c>
      <c r="AR2" s="5" t="s">
        <v>103</v>
      </c>
      <c r="AS2" s="3">
        <v>1.0</v>
      </c>
      <c r="AT2" s="3" t="s">
        <v>94</v>
      </c>
      <c r="AU2" s="5" t="s">
        <v>104</v>
      </c>
      <c r="AV2" s="5">
        <v>1.0</v>
      </c>
      <c r="AW2" s="3" t="s">
        <v>105</v>
      </c>
      <c r="AX2" s="5" t="s">
        <v>106</v>
      </c>
      <c r="AY2" s="5">
        <v>0.0</v>
      </c>
      <c r="AZ2" s="3" t="s">
        <v>107</v>
      </c>
      <c r="BA2" s="5" t="s">
        <v>108</v>
      </c>
      <c r="BB2" s="5">
        <v>0.75</v>
      </c>
      <c r="BC2" s="3" t="s">
        <v>109</v>
      </c>
      <c r="BD2" s="5" t="s">
        <v>110</v>
      </c>
      <c r="BE2" s="3">
        <v>1.0</v>
      </c>
      <c r="BF2" s="3" t="s">
        <v>111</v>
      </c>
      <c r="BG2" s="5" t="s">
        <v>112</v>
      </c>
      <c r="BH2" s="5">
        <v>0.5</v>
      </c>
      <c r="BI2" s="3" t="s">
        <v>113</v>
      </c>
      <c r="BJ2" s="5" t="s">
        <v>114</v>
      </c>
      <c r="BK2" s="5">
        <v>1.0</v>
      </c>
      <c r="BL2" s="3" t="s">
        <v>115</v>
      </c>
      <c r="BM2" s="5" t="s">
        <v>116</v>
      </c>
      <c r="BN2" s="5">
        <v>1.0</v>
      </c>
      <c r="BO2" s="3" t="s">
        <v>117</v>
      </c>
      <c r="BP2" s="3"/>
      <c r="BQ2" s="3">
        <v>1.0</v>
      </c>
      <c r="BR2" s="3" t="s">
        <v>118</v>
      </c>
      <c r="BS2" s="5" t="s">
        <v>119</v>
      </c>
      <c r="BT2" s="5">
        <v>0.5</v>
      </c>
      <c r="BU2" s="3" t="s">
        <v>120</v>
      </c>
      <c r="BV2" s="5" t="s">
        <v>121</v>
      </c>
      <c r="BW2" s="5">
        <v>0.0</v>
      </c>
      <c r="BX2" s="3" t="s">
        <v>122</v>
      </c>
      <c r="BY2" s="5" t="s">
        <v>123</v>
      </c>
      <c r="BZ2" s="5">
        <v>0.5</v>
      </c>
      <c r="CA2" s="3" t="s">
        <v>97</v>
      </c>
      <c r="CB2" s="3" t="s">
        <v>124</v>
      </c>
      <c r="CC2" s="3" t="s">
        <v>97</v>
      </c>
      <c r="CD2" s="3" t="s">
        <v>125</v>
      </c>
      <c r="CE2" s="3" t="s">
        <v>126</v>
      </c>
      <c r="CF2" s="3" t="s">
        <v>97</v>
      </c>
      <c r="CG2" s="3" t="s">
        <v>127</v>
      </c>
      <c r="CH2" s="3">
        <v>5.0</v>
      </c>
    </row>
    <row r="3" ht="14.25" customHeight="1">
      <c r="A3" s="3">
        <v>44718.6879901852</v>
      </c>
      <c r="B3" s="3" t="s">
        <v>86</v>
      </c>
      <c r="C3" s="3">
        <f t="shared" si="1"/>
        <v>1</v>
      </c>
      <c r="D3" s="3" t="s">
        <v>128</v>
      </c>
      <c r="E3" s="3" t="s">
        <v>129</v>
      </c>
      <c r="F3" s="3">
        <f t="shared" si="2"/>
        <v>3</v>
      </c>
      <c r="G3" s="3" t="s">
        <v>130</v>
      </c>
      <c r="H3" s="3" t="s">
        <v>131</v>
      </c>
      <c r="I3" s="3">
        <v>1.0</v>
      </c>
      <c r="J3" s="3" t="s">
        <v>132</v>
      </c>
      <c r="K3" s="3">
        <f t="shared" si="3"/>
        <v>0</v>
      </c>
      <c r="L3" s="3" t="s">
        <v>133</v>
      </c>
      <c r="M3" s="3">
        <f t="shared" si="4"/>
        <v>0</v>
      </c>
      <c r="N3" s="4"/>
      <c r="O3" s="3" t="s">
        <v>93</v>
      </c>
      <c r="P3" s="3" t="s">
        <v>134</v>
      </c>
      <c r="Q3" s="3">
        <v>1.0</v>
      </c>
      <c r="R3" s="3">
        <v>1.0</v>
      </c>
      <c r="S3" s="3">
        <v>0.0</v>
      </c>
      <c r="T3" s="3">
        <v>0.0</v>
      </c>
      <c r="U3" s="3">
        <v>0.0</v>
      </c>
      <c r="V3" s="3">
        <v>0.0</v>
      </c>
      <c r="W3" s="3">
        <v>0.0</v>
      </c>
      <c r="X3" s="3">
        <v>0.0</v>
      </c>
      <c r="Y3" s="3">
        <v>0.0</v>
      </c>
      <c r="Z3" s="3">
        <v>1.0</v>
      </c>
      <c r="AA3" s="3">
        <v>0.0</v>
      </c>
      <c r="AB3" s="3">
        <v>0.0</v>
      </c>
      <c r="AC3" s="3">
        <v>0.0</v>
      </c>
      <c r="AD3" s="3" t="s">
        <v>135</v>
      </c>
      <c r="AE3" s="5" t="s">
        <v>96</v>
      </c>
      <c r="AF3" s="5">
        <v>0.25</v>
      </c>
      <c r="AG3" s="3" t="s">
        <v>97</v>
      </c>
      <c r="AH3" s="3">
        <v>1.0</v>
      </c>
      <c r="AI3" s="3" t="s">
        <v>136</v>
      </c>
      <c r="AJ3" s="5" t="s">
        <v>99</v>
      </c>
      <c r="AK3" s="5">
        <v>0.0</v>
      </c>
      <c r="AL3" s="3" t="s">
        <v>137</v>
      </c>
      <c r="AM3" s="5" t="s">
        <v>101</v>
      </c>
      <c r="AN3" s="5">
        <v>0.75</v>
      </c>
      <c r="AO3" s="3" t="s">
        <v>97</v>
      </c>
      <c r="AP3" s="3">
        <v>1.0</v>
      </c>
      <c r="AQ3" s="3" t="s">
        <v>138</v>
      </c>
      <c r="AR3" s="5" t="s">
        <v>103</v>
      </c>
      <c r="AS3" s="3">
        <v>1.0</v>
      </c>
      <c r="AT3" s="3" t="s">
        <v>94</v>
      </c>
      <c r="AU3" s="5" t="s">
        <v>104</v>
      </c>
      <c r="AV3" s="5">
        <v>1.0</v>
      </c>
      <c r="AW3" s="3" t="s">
        <v>139</v>
      </c>
      <c r="AX3" s="5" t="s">
        <v>106</v>
      </c>
      <c r="AY3" s="5">
        <v>0.0</v>
      </c>
      <c r="AZ3" s="3" t="s">
        <v>140</v>
      </c>
      <c r="BA3" s="5" t="s">
        <v>108</v>
      </c>
      <c r="BB3" s="5">
        <v>0.5</v>
      </c>
      <c r="BC3" s="3" t="s">
        <v>109</v>
      </c>
      <c r="BD3" s="5" t="s">
        <v>110</v>
      </c>
      <c r="BE3" s="3">
        <v>1.0</v>
      </c>
      <c r="BF3" s="3" t="s">
        <v>141</v>
      </c>
      <c r="BG3" s="5" t="s">
        <v>112</v>
      </c>
      <c r="BH3" s="5">
        <v>0.0</v>
      </c>
      <c r="BI3" s="3" t="s">
        <v>142</v>
      </c>
      <c r="BJ3" s="5" t="s">
        <v>114</v>
      </c>
      <c r="BK3" s="5">
        <v>0.75</v>
      </c>
      <c r="BL3" s="3" t="s">
        <v>115</v>
      </c>
      <c r="BM3" s="5" t="s">
        <v>116</v>
      </c>
      <c r="BN3" s="5">
        <v>1.0</v>
      </c>
      <c r="BO3" s="3" t="s">
        <v>117</v>
      </c>
      <c r="BP3" s="3"/>
      <c r="BQ3" s="3">
        <v>1.0</v>
      </c>
      <c r="BR3" s="3" t="s">
        <v>143</v>
      </c>
      <c r="BS3" s="5" t="s">
        <v>119</v>
      </c>
      <c r="BT3" s="5">
        <v>0.5</v>
      </c>
      <c r="BU3" s="3" t="s">
        <v>144</v>
      </c>
      <c r="BV3" s="5" t="s">
        <v>121</v>
      </c>
      <c r="BW3" s="5">
        <v>0.5</v>
      </c>
      <c r="BX3" s="3" t="s">
        <v>145</v>
      </c>
      <c r="BY3" s="5" t="s">
        <v>123</v>
      </c>
      <c r="BZ3" s="5">
        <v>0.25</v>
      </c>
      <c r="CA3" s="3" t="s">
        <v>97</v>
      </c>
      <c r="CB3" s="3" t="s">
        <v>146</v>
      </c>
      <c r="CC3" s="3" t="s">
        <v>97</v>
      </c>
      <c r="CD3" s="3" t="s">
        <v>125</v>
      </c>
      <c r="CE3" s="3" t="s">
        <v>147</v>
      </c>
      <c r="CF3" s="3" t="s">
        <v>97</v>
      </c>
      <c r="CG3" s="3" t="s">
        <v>148</v>
      </c>
      <c r="CH3" s="3">
        <v>5.0</v>
      </c>
    </row>
    <row r="4" ht="14.25" customHeight="1">
      <c r="A4" s="3">
        <v>44718.6916508565</v>
      </c>
      <c r="B4" s="3" t="s">
        <v>149</v>
      </c>
      <c r="C4" s="3">
        <f t="shared" si="1"/>
        <v>0</v>
      </c>
      <c r="D4" s="3" t="s">
        <v>87</v>
      </c>
      <c r="E4" s="3" t="s">
        <v>88</v>
      </c>
      <c r="F4" s="3">
        <f t="shared" si="2"/>
        <v>1</v>
      </c>
      <c r="G4" s="3" t="s">
        <v>150</v>
      </c>
      <c r="H4" s="3" t="s">
        <v>151</v>
      </c>
      <c r="I4" s="3">
        <v>2.0</v>
      </c>
      <c r="J4" s="3" t="s">
        <v>91</v>
      </c>
      <c r="K4" s="3">
        <f t="shared" si="3"/>
        <v>1</v>
      </c>
      <c r="L4" s="3" t="s">
        <v>133</v>
      </c>
      <c r="M4" s="3">
        <f t="shared" si="4"/>
        <v>0</v>
      </c>
      <c r="N4" s="4"/>
      <c r="O4" s="3" t="s">
        <v>93</v>
      </c>
      <c r="P4" s="3" t="s">
        <v>16</v>
      </c>
      <c r="Q4" s="3">
        <v>1.0</v>
      </c>
      <c r="R4" s="3">
        <v>0.0</v>
      </c>
      <c r="S4" s="3">
        <v>0.0</v>
      </c>
      <c r="T4" s="3">
        <v>0.0</v>
      </c>
      <c r="U4" s="3">
        <v>0.0</v>
      </c>
      <c r="V4" s="3">
        <v>0.0</v>
      </c>
      <c r="W4" s="3">
        <v>0.0</v>
      </c>
      <c r="X4" s="3">
        <v>0.0</v>
      </c>
      <c r="Y4" s="3">
        <v>0.0</v>
      </c>
      <c r="Z4" s="3">
        <v>0.0</v>
      </c>
      <c r="AA4" s="3">
        <v>0.0</v>
      </c>
      <c r="AB4" s="3">
        <v>0.0</v>
      </c>
      <c r="AC4" s="3">
        <v>0.0</v>
      </c>
      <c r="AD4" s="3" t="s">
        <v>152</v>
      </c>
      <c r="AE4" s="5" t="s">
        <v>96</v>
      </c>
      <c r="AF4" s="5">
        <v>0.25</v>
      </c>
      <c r="AG4" s="3" t="s">
        <v>97</v>
      </c>
      <c r="AH4" s="3">
        <v>1.0</v>
      </c>
      <c r="AI4" s="3" t="s">
        <v>153</v>
      </c>
      <c r="AJ4" s="5" t="s">
        <v>99</v>
      </c>
      <c r="AK4" s="5">
        <v>1.0</v>
      </c>
      <c r="AL4" s="3" t="s">
        <v>154</v>
      </c>
      <c r="AM4" s="5" t="s">
        <v>101</v>
      </c>
      <c r="AN4" s="5">
        <v>0.75</v>
      </c>
      <c r="AO4" s="3" t="s">
        <v>97</v>
      </c>
      <c r="AP4" s="3">
        <v>1.0</v>
      </c>
      <c r="AQ4" s="3" t="s">
        <v>155</v>
      </c>
      <c r="AR4" s="5" t="s">
        <v>103</v>
      </c>
      <c r="AS4" s="3">
        <v>1.0</v>
      </c>
      <c r="AT4" s="3" t="s">
        <v>94</v>
      </c>
      <c r="AU4" s="5" t="s">
        <v>104</v>
      </c>
      <c r="AV4" s="5">
        <v>1.0</v>
      </c>
      <c r="AW4" s="3" t="s">
        <v>156</v>
      </c>
      <c r="AX4" s="5" t="s">
        <v>106</v>
      </c>
      <c r="AY4" s="5">
        <v>0.0</v>
      </c>
      <c r="AZ4" s="3" t="s">
        <v>157</v>
      </c>
      <c r="BA4" s="5" t="s">
        <v>108</v>
      </c>
      <c r="BB4" s="5">
        <v>0.75</v>
      </c>
      <c r="BC4" s="3" t="s">
        <v>109</v>
      </c>
      <c r="BD4" s="5" t="s">
        <v>110</v>
      </c>
      <c r="BE4" s="3">
        <v>1.0</v>
      </c>
      <c r="BF4" s="3" t="s">
        <v>158</v>
      </c>
      <c r="BG4" s="5" t="s">
        <v>112</v>
      </c>
      <c r="BH4" s="5">
        <v>0.5</v>
      </c>
      <c r="BI4" s="3" t="s">
        <v>159</v>
      </c>
      <c r="BJ4" s="5" t="s">
        <v>114</v>
      </c>
      <c r="BK4" s="5">
        <v>1.0</v>
      </c>
      <c r="BL4" s="3" t="s">
        <v>115</v>
      </c>
      <c r="BM4" s="5" t="s">
        <v>116</v>
      </c>
      <c r="BN4" s="5">
        <v>1.0</v>
      </c>
      <c r="BO4" s="3" t="s">
        <v>160</v>
      </c>
      <c r="BP4" s="3"/>
      <c r="BQ4" s="3">
        <v>0.0</v>
      </c>
      <c r="BR4" s="3" t="s">
        <v>161</v>
      </c>
      <c r="BS4" s="5" t="s">
        <v>119</v>
      </c>
      <c r="BT4" s="5">
        <v>1.0</v>
      </c>
      <c r="BU4" s="3" t="s">
        <v>162</v>
      </c>
      <c r="BV4" s="5" t="s">
        <v>121</v>
      </c>
      <c r="BW4" s="5">
        <v>0.25</v>
      </c>
      <c r="BX4" s="3" t="s">
        <v>163</v>
      </c>
      <c r="BY4" s="5" t="s">
        <v>123</v>
      </c>
      <c r="BZ4" s="5">
        <v>0.25</v>
      </c>
      <c r="CA4" s="3" t="s">
        <v>97</v>
      </c>
      <c r="CB4" s="3" t="s">
        <v>164</v>
      </c>
      <c r="CC4" s="3" t="s">
        <v>97</v>
      </c>
      <c r="CD4" s="3" t="s">
        <v>165</v>
      </c>
      <c r="CE4" s="3" t="s">
        <v>166</v>
      </c>
      <c r="CF4" s="3" t="s">
        <v>167</v>
      </c>
      <c r="CG4" s="3" t="s">
        <v>168</v>
      </c>
      <c r="CH4" s="3">
        <v>5.0</v>
      </c>
    </row>
    <row r="5" ht="14.25" customHeight="1">
      <c r="A5" s="3">
        <v>44718.6955395139</v>
      </c>
      <c r="B5" s="3" t="s">
        <v>86</v>
      </c>
      <c r="C5" s="3">
        <f t="shared" si="1"/>
        <v>1</v>
      </c>
      <c r="D5" s="3" t="s">
        <v>169</v>
      </c>
      <c r="E5" s="3" t="s">
        <v>170</v>
      </c>
      <c r="F5" s="3">
        <f t="shared" si="2"/>
        <v>2</v>
      </c>
      <c r="G5" s="3" t="s">
        <v>130</v>
      </c>
      <c r="H5" s="3" t="s">
        <v>171</v>
      </c>
      <c r="I5" s="3">
        <v>1.0</v>
      </c>
      <c r="J5" s="3" t="s">
        <v>132</v>
      </c>
      <c r="K5" s="3">
        <f t="shared" si="3"/>
        <v>0</v>
      </c>
      <c r="L5" s="3" t="s">
        <v>133</v>
      </c>
      <c r="M5" s="3">
        <f t="shared" si="4"/>
        <v>0</v>
      </c>
      <c r="N5" s="4"/>
      <c r="O5" s="3" t="s">
        <v>93</v>
      </c>
      <c r="P5" s="3" t="s">
        <v>172</v>
      </c>
      <c r="Q5" s="3">
        <v>0.0</v>
      </c>
      <c r="R5" s="3">
        <v>1.0</v>
      </c>
      <c r="S5" s="3">
        <v>1.0</v>
      </c>
      <c r="T5" s="3">
        <v>0.0</v>
      </c>
      <c r="U5" s="3">
        <v>0.0</v>
      </c>
      <c r="V5" s="3">
        <v>0.0</v>
      </c>
      <c r="W5" s="3">
        <v>0.0</v>
      </c>
      <c r="X5" s="3">
        <v>0.0</v>
      </c>
      <c r="Y5" s="3">
        <v>0.0</v>
      </c>
      <c r="Z5" s="3">
        <v>0.0</v>
      </c>
      <c r="AA5" s="3">
        <v>0.0</v>
      </c>
      <c r="AB5" s="3">
        <v>0.0</v>
      </c>
      <c r="AC5" s="3">
        <v>0.0</v>
      </c>
      <c r="AD5" s="3" t="s">
        <v>173</v>
      </c>
      <c r="AE5" s="5" t="s">
        <v>96</v>
      </c>
      <c r="AF5" s="5">
        <v>0.25</v>
      </c>
      <c r="AG5" s="3" t="s">
        <v>97</v>
      </c>
      <c r="AH5" s="3">
        <v>1.0</v>
      </c>
      <c r="AI5" s="3" t="s">
        <v>174</v>
      </c>
      <c r="AJ5" s="5" t="s">
        <v>99</v>
      </c>
      <c r="AK5" s="5">
        <v>1.0</v>
      </c>
      <c r="AL5" s="3" t="s">
        <v>175</v>
      </c>
      <c r="AM5" s="5" t="s">
        <v>101</v>
      </c>
      <c r="AN5" s="5">
        <v>1.0</v>
      </c>
      <c r="AO5" s="3" t="s">
        <v>97</v>
      </c>
      <c r="AP5" s="3">
        <v>1.0</v>
      </c>
      <c r="AQ5" s="3" t="s">
        <v>176</v>
      </c>
      <c r="AR5" s="5" t="s">
        <v>103</v>
      </c>
      <c r="AS5" s="3">
        <v>1.0</v>
      </c>
      <c r="AT5" s="3" t="s">
        <v>94</v>
      </c>
      <c r="AU5" s="5" t="s">
        <v>104</v>
      </c>
      <c r="AV5" s="5">
        <v>1.0</v>
      </c>
      <c r="AW5" s="3" t="s">
        <v>177</v>
      </c>
      <c r="AX5" s="5" t="s">
        <v>106</v>
      </c>
      <c r="AY5" s="5">
        <v>0.25</v>
      </c>
      <c r="AZ5" s="3" t="s">
        <v>178</v>
      </c>
      <c r="BA5" s="5" t="s">
        <v>108</v>
      </c>
      <c r="BB5" s="5">
        <v>0.5</v>
      </c>
      <c r="BC5" s="3" t="s">
        <v>109</v>
      </c>
      <c r="BD5" s="5" t="s">
        <v>110</v>
      </c>
      <c r="BE5" s="3">
        <v>1.0</v>
      </c>
      <c r="BF5" s="3" t="s">
        <v>179</v>
      </c>
      <c r="BG5" s="5" t="s">
        <v>112</v>
      </c>
      <c r="BH5" s="5">
        <v>0.0</v>
      </c>
      <c r="BI5" s="3" t="s">
        <v>180</v>
      </c>
      <c r="BJ5" s="5" t="s">
        <v>114</v>
      </c>
      <c r="BK5" s="5">
        <v>1.0</v>
      </c>
      <c r="BL5" s="3" t="s">
        <v>115</v>
      </c>
      <c r="BM5" s="5" t="s">
        <v>116</v>
      </c>
      <c r="BN5" s="5">
        <v>1.0</v>
      </c>
      <c r="BO5" s="3" t="s">
        <v>160</v>
      </c>
      <c r="BP5" s="3"/>
      <c r="BQ5" s="3">
        <v>0.0</v>
      </c>
      <c r="BR5" s="3" t="s">
        <v>181</v>
      </c>
      <c r="BS5" s="5" t="s">
        <v>119</v>
      </c>
      <c r="BT5" s="5">
        <v>1.0</v>
      </c>
      <c r="BU5" s="3" t="s">
        <v>182</v>
      </c>
      <c r="BV5" s="5" t="s">
        <v>121</v>
      </c>
      <c r="BW5" s="5">
        <v>0.0</v>
      </c>
      <c r="BX5" s="3" t="s">
        <v>183</v>
      </c>
      <c r="BY5" s="5" t="s">
        <v>123</v>
      </c>
      <c r="BZ5" s="5">
        <v>0.5</v>
      </c>
      <c r="CA5" s="3" t="s">
        <v>97</v>
      </c>
      <c r="CB5" s="3" t="s">
        <v>146</v>
      </c>
      <c r="CC5" s="3" t="s">
        <v>97</v>
      </c>
      <c r="CD5" s="3" t="s">
        <v>165</v>
      </c>
      <c r="CE5" s="3" t="s">
        <v>184</v>
      </c>
      <c r="CF5" s="3" t="s">
        <v>167</v>
      </c>
      <c r="CG5" s="3" t="s">
        <v>185</v>
      </c>
      <c r="CH5" s="3">
        <v>5.0</v>
      </c>
    </row>
    <row r="6" ht="14.25" customHeight="1">
      <c r="A6" s="3">
        <v>44718.7013711806</v>
      </c>
      <c r="B6" s="3" t="s">
        <v>149</v>
      </c>
      <c r="C6" s="3">
        <f t="shared" si="1"/>
        <v>0</v>
      </c>
      <c r="D6" s="3" t="s">
        <v>87</v>
      </c>
      <c r="E6" s="3" t="s">
        <v>88</v>
      </c>
      <c r="F6" s="3">
        <f t="shared" si="2"/>
        <v>1</v>
      </c>
      <c r="G6" s="3" t="s">
        <v>186</v>
      </c>
      <c r="H6" s="3" t="s">
        <v>151</v>
      </c>
      <c r="I6" s="3">
        <v>2.0</v>
      </c>
      <c r="J6" s="3" t="s">
        <v>91</v>
      </c>
      <c r="K6" s="3">
        <f t="shared" si="3"/>
        <v>1</v>
      </c>
      <c r="L6" s="3" t="s">
        <v>133</v>
      </c>
      <c r="M6" s="3">
        <f t="shared" si="4"/>
        <v>0</v>
      </c>
      <c r="N6" s="4"/>
      <c r="O6" s="3" t="s">
        <v>93</v>
      </c>
      <c r="P6" s="3" t="s">
        <v>187</v>
      </c>
      <c r="Q6" s="3">
        <v>0.0</v>
      </c>
      <c r="R6" s="3">
        <v>0.0</v>
      </c>
      <c r="S6" s="3">
        <v>0.0</v>
      </c>
      <c r="T6" s="3">
        <v>0.0</v>
      </c>
      <c r="U6" s="3">
        <v>0.0</v>
      </c>
      <c r="V6" s="3">
        <v>0.0</v>
      </c>
      <c r="W6" s="3">
        <v>1.0</v>
      </c>
      <c r="X6" s="3">
        <v>0.0</v>
      </c>
      <c r="Y6" s="3">
        <v>0.0</v>
      </c>
      <c r="Z6" s="3">
        <v>1.0</v>
      </c>
      <c r="AA6" s="3">
        <v>0.0</v>
      </c>
      <c r="AB6" s="3">
        <v>0.0</v>
      </c>
      <c r="AC6" s="3">
        <v>0.0</v>
      </c>
      <c r="AD6" s="3" t="s">
        <v>188</v>
      </c>
      <c r="AE6" s="5" t="s">
        <v>96</v>
      </c>
      <c r="AF6" s="5">
        <v>0.25</v>
      </c>
      <c r="AG6" s="3" t="s">
        <v>167</v>
      </c>
      <c r="AH6" s="3">
        <v>0.0</v>
      </c>
      <c r="AI6" s="3" t="s">
        <v>189</v>
      </c>
      <c r="AJ6" s="5" t="s">
        <v>99</v>
      </c>
      <c r="AK6" s="5">
        <v>1.0</v>
      </c>
      <c r="AL6" s="3" t="s">
        <v>190</v>
      </c>
      <c r="AM6" s="5" t="s">
        <v>101</v>
      </c>
      <c r="AN6" s="5">
        <v>1.0</v>
      </c>
      <c r="AO6" s="3" t="s">
        <v>167</v>
      </c>
      <c r="AP6" s="3">
        <v>0.0</v>
      </c>
      <c r="AQ6" s="3" t="s">
        <v>191</v>
      </c>
      <c r="AR6" s="5" t="s">
        <v>103</v>
      </c>
      <c r="AS6" s="3">
        <v>1.0</v>
      </c>
      <c r="AT6" s="3" t="s">
        <v>94</v>
      </c>
      <c r="AU6" s="5" t="s">
        <v>104</v>
      </c>
      <c r="AV6" s="5">
        <v>1.0</v>
      </c>
      <c r="AW6" s="3" t="s">
        <v>192</v>
      </c>
      <c r="AX6" s="5" t="s">
        <v>106</v>
      </c>
      <c r="AY6" s="5">
        <v>0.5</v>
      </c>
      <c r="AZ6" s="3" t="s">
        <v>193</v>
      </c>
      <c r="BA6" s="5" t="s">
        <v>108</v>
      </c>
      <c r="BB6" s="5">
        <v>0.25</v>
      </c>
      <c r="BC6" s="3" t="s">
        <v>109</v>
      </c>
      <c r="BD6" s="5" t="s">
        <v>110</v>
      </c>
      <c r="BE6" s="3">
        <v>1.0</v>
      </c>
      <c r="BF6" s="3" t="s">
        <v>194</v>
      </c>
      <c r="BG6" s="5" t="s">
        <v>112</v>
      </c>
      <c r="BH6" s="5">
        <v>0.0</v>
      </c>
      <c r="BI6" s="3" t="s">
        <v>195</v>
      </c>
      <c r="BJ6" s="5" t="s">
        <v>114</v>
      </c>
      <c r="BK6" s="5">
        <v>1.0</v>
      </c>
      <c r="BL6" s="3" t="s">
        <v>115</v>
      </c>
      <c r="BM6" s="5" t="s">
        <v>116</v>
      </c>
      <c r="BN6" s="5">
        <v>1.0</v>
      </c>
      <c r="BO6" s="3" t="s">
        <v>117</v>
      </c>
      <c r="BP6" s="3"/>
      <c r="BQ6" s="3">
        <v>1.0</v>
      </c>
      <c r="BR6" s="3" t="s">
        <v>161</v>
      </c>
      <c r="BS6" s="5" t="s">
        <v>119</v>
      </c>
      <c r="BT6" s="5">
        <v>1.0</v>
      </c>
      <c r="BU6" s="3" t="s">
        <v>196</v>
      </c>
      <c r="BV6" s="5" t="s">
        <v>121</v>
      </c>
      <c r="BW6" s="5">
        <v>0.0</v>
      </c>
      <c r="BX6" s="3" t="s">
        <v>197</v>
      </c>
      <c r="BY6" s="5" t="s">
        <v>123</v>
      </c>
      <c r="BZ6" s="5">
        <v>0.25</v>
      </c>
      <c r="CA6" s="3" t="s">
        <v>97</v>
      </c>
      <c r="CB6" s="3" t="s">
        <v>198</v>
      </c>
      <c r="CC6" s="3" t="s">
        <v>97</v>
      </c>
      <c r="CD6" s="3" t="s">
        <v>199</v>
      </c>
      <c r="CE6" s="3" t="s">
        <v>200</v>
      </c>
      <c r="CF6" s="3" t="s">
        <v>167</v>
      </c>
      <c r="CG6" s="3" t="s">
        <v>201</v>
      </c>
      <c r="CH6" s="3">
        <v>4.0</v>
      </c>
    </row>
    <row r="7" ht="14.25" customHeight="1">
      <c r="A7" s="3">
        <v>44718.7056882755</v>
      </c>
      <c r="B7" s="3" t="s">
        <v>149</v>
      </c>
      <c r="C7" s="3">
        <f t="shared" si="1"/>
        <v>0</v>
      </c>
      <c r="D7" s="3" t="s">
        <v>128</v>
      </c>
      <c r="E7" s="3" t="s">
        <v>129</v>
      </c>
      <c r="F7" s="3">
        <f t="shared" si="2"/>
        <v>3</v>
      </c>
      <c r="G7" s="3" t="s">
        <v>150</v>
      </c>
      <c r="H7" s="3" t="s">
        <v>202</v>
      </c>
      <c r="I7" s="3">
        <v>1.0</v>
      </c>
      <c r="J7" s="3" t="s">
        <v>91</v>
      </c>
      <c r="K7" s="3">
        <f t="shared" si="3"/>
        <v>1</v>
      </c>
      <c r="L7" s="3" t="s">
        <v>133</v>
      </c>
      <c r="M7" s="3">
        <f t="shared" si="4"/>
        <v>0</v>
      </c>
      <c r="N7" s="4"/>
      <c r="O7" s="3" t="s">
        <v>93</v>
      </c>
      <c r="P7" s="3" t="s">
        <v>16</v>
      </c>
      <c r="Q7" s="3">
        <v>1.0</v>
      </c>
      <c r="R7" s="3">
        <v>0.0</v>
      </c>
      <c r="S7" s="3">
        <v>0.0</v>
      </c>
      <c r="T7" s="3">
        <v>0.0</v>
      </c>
      <c r="U7" s="3">
        <v>0.0</v>
      </c>
      <c r="V7" s="3">
        <v>0.0</v>
      </c>
      <c r="W7" s="3">
        <v>0.0</v>
      </c>
      <c r="X7" s="3">
        <v>0.0</v>
      </c>
      <c r="Y7" s="3">
        <v>0.0</v>
      </c>
      <c r="Z7" s="3">
        <v>0.0</v>
      </c>
      <c r="AA7" s="3">
        <v>0.0</v>
      </c>
      <c r="AB7" s="3">
        <v>0.0</v>
      </c>
      <c r="AC7" s="3">
        <v>0.0</v>
      </c>
      <c r="AD7" s="3" t="s">
        <v>203</v>
      </c>
      <c r="AE7" s="5" t="s">
        <v>96</v>
      </c>
      <c r="AF7" s="5">
        <v>0.25</v>
      </c>
      <c r="AG7" s="3" t="s">
        <v>97</v>
      </c>
      <c r="AH7" s="3">
        <v>1.0</v>
      </c>
      <c r="AI7" s="3" t="s">
        <v>204</v>
      </c>
      <c r="AJ7" s="5" t="s">
        <v>99</v>
      </c>
      <c r="AK7" s="5">
        <v>1.0</v>
      </c>
      <c r="AL7" s="3" t="s">
        <v>205</v>
      </c>
      <c r="AM7" s="5" t="s">
        <v>101</v>
      </c>
      <c r="AN7" s="5">
        <v>0.75</v>
      </c>
      <c r="AO7" s="3" t="s">
        <v>97</v>
      </c>
      <c r="AP7" s="3">
        <v>1.0</v>
      </c>
      <c r="AQ7" s="3" t="s">
        <v>206</v>
      </c>
      <c r="AR7" s="5" t="s">
        <v>103</v>
      </c>
      <c r="AS7" s="3">
        <v>0.0</v>
      </c>
      <c r="AT7" s="3" t="s">
        <v>94</v>
      </c>
      <c r="AU7" s="5" t="s">
        <v>104</v>
      </c>
      <c r="AV7" s="5">
        <v>1.0</v>
      </c>
      <c r="AW7" s="3" t="s">
        <v>207</v>
      </c>
      <c r="AX7" s="5" t="s">
        <v>106</v>
      </c>
      <c r="AY7" s="5">
        <v>0.25</v>
      </c>
      <c r="AZ7" s="3" t="s">
        <v>208</v>
      </c>
      <c r="BA7" s="5" t="s">
        <v>108</v>
      </c>
      <c r="BB7" s="5">
        <v>0.5</v>
      </c>
      <c r="BC7" s="3" t="s">
        <v>109</v>
      </c>
      <c r="BD7" s="5" t="s">
        <v>110</v>
      </c>
      <c r="BE7" s="3">
        <v>1.0</v>
      </c>
      <c r="BF7" s="3" t="s">
        <v>209</v>
      </c>
      <c r="BG7" s="5" t="s">
        <v>112</v>
      </c>
      <c r="BH7" s="5">
        <v>0.0</v>
      </c>
      <c r="BI7" s="3" t="s">
        <v>210</v>
      </c>
      <c r="BJ7" s="5" t="s">
        <v>114</v>
      </c>
      <c r="BK7" s="5">
        <v>1.0</v>
      </c>
      <c r="BL7" s="3" t="s">
        <v>115</v>
      </c>
      <c r="BM7" s="5" t="s">
        <v>116</v>
      </c>
      <c r="BN7" s="5">
        <v>1.0</v>
      </c>
      <c r="BO7" s="3" t="s">
        <v>211</v>
      </c>
      <c r="BP7" s="3"/>
      <c r="BQ7" s="3">
        <v>1.0</v>
      </c>
      <c r="BR7" s="3" t="s">
        <v>181</v>
      </c>
      <c r="BS7" s="5" t="s">
        <v>119</v>
      </c>
      <c r="BT7" s="5">
        <v>1.0</v>
      </c>
      <c r="BU7" s="3" t="s">
        <v>212</v>
      </c>
      <c r="BV7" s="5" t="s">
        <v>121</v>
      </c>
      <c r="BW7" s="5">
        <v>0.25</v>
      </c>
      <c r="BX7" s="3" t="s">
        <v>213</v>
      </c>
      <c r="BY7" s="5" t="s">
        <v>123</v>
      </c>
      <c r="BZ7" s="5">
        <v>0.5</v>
      </c>
      <c r="CA7" s="3" t="s">
        <v>97</v>
      </c>
      <c r="CB7" s="3" t="s">
        <v>214</v>
      </c>
      <c r="CC7" s="3" t="s">
        <v>97</v>
      </c>
      <c r="CD7" s="3" t="s">
        <v>165</v>
      </c>
      <c r="CE7" s="3" t="s">
        <v>215</v>
      </c>
      <c r="CF7" s="3" t="s">
        <v>167</v>
      </c>
      <c r="CG7" s="3" t="s">
        <v>216</v>
      </c>
      <c r="CH7" s="3">
        <v>5.0</v>
      </c>
    </row>
    <row r="8" ht="14.25" customHeight="1">
      <c r="A8" s="3">
        <v>44718.7113335532</v>
      </c>
      <c r="B8" s="3" t="s">
        <v>86</v>
      </c>
      <c r="C8" s="3">
        <f t="shared" si="1"/>
        <v>1</v>
      </c>
      <c r="D8" s="3" t="s">
        <v>128</v>
      </c>
      <c r="E8" s="3" t="s">
        <v>129</v>
      </c>
      <c r="F8" s="3">
        <f t="shared" si="2"/>
        <v>3</v>
      </c>
      <c r="G8" s="3" t="s">
        <v>89</v>
      </c>
      <c r="H8" s="3" t="s">
        <v>217</v>
      </c>
      <c r="I8" s="3">
        <v>3.0</v>
      </c>
      <c r="J8" s="3" t="s">
        <v>91</v>
      </c>
      <c r="K8" s="3">
        <f t="shared" si="3"/>
        <v>1</v>
      </c>
      <c r="L8" s="3" t="s">
        <v>133</v>
      </c>
      <c r="M8" s="3">
        <f t="shared" si="4"/>
        <v>0</v>
      </c>
      <c r="N8" s="4"/>
      <c r="O8" s="3" t="s">
        <v>93</v>
      </c>
      <c r="P8" s="3" t="s">
        <v>22</v>
      </c>
      <c r="Q8" s="3">
        <v>0.0</v>
      </c>
      <c r="R8" s="3">
        <v>0.0</v>
      </c>
      <c r="S8" s="3">
        <v>0.0</v>
      </c>
      <c r="T8" s="3">
        <v>0.0</v>
      </c>
      <c r="U8" s="3">
        <v>0.0</v>
      </c>
      <c r="V8" s="3">
        <v>0.0</v>
      </c>
      <c r="W8" s="3">
        <v>1.0</v>
      </c>
      <c r="X8" s="3">
        <v>0.0</v>
      </c>
      <c r="Y8" s="3">
        <v>0.0</v>
      </c>
      <c r="Z8" s="3">
        <v>0.0</v>
      </c>
      <c r="AA8" s="3">
        <v>0.0</v>
      </c>
      <c r="AB8" s="3">
        <v>0.0</v>
      </c>
      <c r="AC8" s="3">
        <v>0.0</v>
      </c>
      <c r="AD8" s="3" t="s">
        <v>218</v>
      </c>
      <c r="AE8" s="5" t="s">
        <v>96</v>
      </c>
      <c r="AF8" s="5">
        <v>0.75</v>
      </c>
      <c r="AG8" s="3" t="s">
        <v>97</v>
      </c>
      <c r="AH8" s="3">
        <v>1.0</v>
      </c>
      <c r="AI8" s="3" t="s">
        <v>219</v>
      </c>
      <c r="AJ8" s="5" t="s">
        <v>99</v>
      </c>
      <c r="AK8" s="5">
        <v>1.0</v>
      </c>
      <c r="AL8" s="3" t="s">
        <v>220</v>
      </c>
      <c r="AM8" s="5" t="s">
        <v>101</v>
      </c>
      <c r="AN8" s="5">
        <v>0.5</v>
      </c>
      <c r="AO8" s="3" t="s">
        <v>97</v>
      </c>
      <c r="AP8" s="3">
        <v>1.0</v>
      </c>
      <c r="AQ8" s="3" t="s">
        <v>221</v>
      </c>
      <c r="AR8" s="5" t="s">
        <v>103</v>
      </c>
      <c r="AS8" s="3">
        <v>1.0</v>
      </c>
      <c r="AT8" s="3" t="s">
        <v>94</v>
      </c>
      <c r="AU8" s="5" t="s">
        <v>104</v>
      </c>
      <c r="AV8" s="5">
        <v>1.0</v>
      </c>
      <c r="AW8" s="3" t="s">
        <v>222</v>
      </c>
      <c r="AX8" s="5" t="s">
        <v>106</v>
      </c>
      <c r="AY8" s="5">
        <v>0.5</v>
      </c>
      <c r="AZ8" s="3" t="s">
        <v>223</v>
      </c>
      <c r="BA8" s="5" t="s">
        <v>108</v>
      </c>
      <c r="BB8" s="5">
        <v>0.5</v>
      </c>
      <c r="BC8" s="3" t="s">
        <v>109</v>
      </c>
      <c r="BD8" s="5" t="s">
        <v>110</v>
      </c>
      <c r="BE8" s="3">
        <v>1.0</v>
      </c>
      <c r="BF8" s="3" t="s">
        <v>224</v>
      </c>
      <c r="BG8" s="5" t="s">
        <v>112</v>
      </c>
      <c r="BH8" s="5">
        <v>0.0</v>
      </c>
      <c r="BI8" s="3" t="s">
        <v>225</v>
      </c>
      <c r="BJ8" s="5" t="s">
        <v>114</v>
      </c>
      <c r="BK8" s="5">
        <v>1.0</v>
      </c>
      <c r="BL8" s="3" t="s">
        <v>115</v>
      </c>
      <c r="BM8" s="5" t="s">
        <v>116</v>
      </c>
      <c r="BN8" s="5">
        <v>1.0</v>
      </c>
      <c r="BO8" s="3" t="s">
        <v>226</v>
      </c>
      <c r="BP8" s="3"/>
      <c r="BQ8" s="3">
        <v>0.0</v>
      </c>
      <c r="BR8" s="3" t="s">
        <v>227</v>
      </c>
      <c r="BS8" s="5" t="s">
        <v>119</v>
      </c>
      <c r="BT8" s="5">
        <v>0.5</v>
      </c>
      <c r="BU8" s="3" t="s">
        <v>228</v>
      </c>
      <c r="BV8" s="5" t="s">
        <v>121</v>
      </c>
      <c r="BW8" s="5">
        <v>0.25</v>
      </c>
      <c r="BX8" s="3" t="s">
        <v>229</v>
      </c>
      <c r="BY8" s="5" t="s">
        <v>123</v>
      </c>
      <c r="BZ8" s="5">
        <v>0.5</v>
      </c>
      <c r="CA8" s="3" t="s">
        <v>97</v>
      </c>
      <c r="CB8" s="3" t="s">
        <v>230</v>
      </c>
      <c r="CC8" s="3" t="s">
        <v>167</v>
      </c>
      <c r="CD8" s="3" t="s">
        <v>231</v>
      </c>
      <c r="CE8" s="3" t="s">
        <v>232</v>
      </c>
      <c r="CF8" s="3" t="s">
        <v>167</v>
      </c>
      <c r="CG8" s="3" t="s">
        <v>233</v>
      </c>
      <c r="CH8" s="3">
        <v>5.0</v>
      </c>
    </row>
    <row r="9" ht="14.25" customHeight="1">
      <c r="A9" s="3">
        <v>44718.7214152546</v>
      </c>
      <c r="B9" s="3" t="s">
        <v>149</v>
      </c>
      <c r="C9" s="3">
        <f t="shared" si="1"/>
        <v>0</v>
      </c>
      <c r="D9" s="3" t="s">
        <v>169</v>
      </c>
      <c r="E9" s="3" t="s">
        <v>170</v>
      </c>
      <c r="F9" s="3">
        <f t="shared" si="2"/>
        <v>2</v>
      </c>
      <c r="G9" s="3" t="s">
        <v>150</v>
      </c>
      <c r="H9" s="3" t="s">
        <v>171</v>
      </c>
      <c r="I9" s="3">
        <v>1.0</v>
      </c>
      <c r="J9" s="3" t="s">
        <v>91</v>
      </c>
      <c r="K9" s="3">
        <f t="shared" si="3"/>
        <v>1</v>
      </c>
      <c r="L9" s="3" t="s">
        <v>133</v>
      </c>
      <c r="M9" s="3">
        <f t="shared" si="4"/>
        <v>0</v>
      </c>
      <c r="N9" s="4"/>
      <c r="O9" s="3" t="s">
        <v>93</v>
      </c>
      <c r="P9" s="3" t="s">
        <v>16</v>
      </c>
      <c r="Q9" s="3">
        <v>1.0</v>
      </c>
      <c r="R9" s="3">
        <v>0.0</v>
      </c>
      <c r="S9" s="3">
        <v>0.0</v>
      </c>
      <c r="T9" s="3">
        <v>0.0</v>
      </c>
      <c r="U9" s="3">
        <v>0.0</v>
      </c>
      <c r="V9" s="3">
        <v>0.0</v>
      </c>
      <c r="W9" s="3">
        <v>0.0</v>
      </c>
      <c r="X9" s="3">
        <v>0.0</v>
      </c>
      <c r="Y9" s="3">
        <v>0.0</v>
      </c>
      <c r="Z9" s="3">
        <v>0.0</v>
      </c>
      <c r="AA9" s="3">
        <v>0.0</v>
      </c>
      <c r="AB9" s="3">
        <v>0.0</v>
      </c>
      <c r="AC9" s="3">
        <v>0.0</v>
      </c>
      <c r="AD9" s="3" t="s">
        <v>234</v>
      </c>
      <c r="AE9" s="5" t="s">
        <v>96</v>
      </c>
      <c r="AF9" s="5">
        <v>0.25</v>
      </c>
      <c r="AG9" s="3" t="s">
        <v>97</v>
      </c>
      <c r="AH9" s="3">
        <v>1.0</v>
      </c>
      <c r="AI9" s="3" t="s">
        <v>235</v>
      </c>
      <c r="AJ9" s="5" t="s">
        <v>99</v>
      </c>
      <c r="AK9" s="5">
        <v>1.0</v>
      </c>
      <c r="AL9" s="3" t="s">
        <v>236</v>
      </c>
      <c r="AM9" s="5" t="s">
        <v>101</v>
      </c>
      <c r="AN9" s="5">
        <v>1.0</v>
      </c>
      <c r="AO9" s="3" t="s">
        <v>97</v>
      </c>
      <c r="AP9" s="3">
        <v>1.0</v>
      </c>
      <c r="AQ9" s="3" t="s">
        <v>237</v>
      </c>
      <c r="AR9" s="5" t="s">
        <v>103</v>
      </c>
      <c r="AS9" s="3">
        <v>1.0</v>
      </c>
      <c r="AT9" s="3" t="s">
        <v>94</v>
      </c>
      <c r="AU9" s="5" t="s">
        <v>104</v>
      </c>
      <c r="AV9" s="5">
        <v>1.0</v>
      </c>
      <c r="AW9" s="3" t="s">
        <v>238</v>
      </c>
      <c r="AX9" s="5" t="s">
        <v>106</v>
      </c>
      <c r="AY9" s="5">
        <v>0.25</v>
      </c>
      <c r="AZ9" s="3" t="s">
        <v>239</v>
      </c>
      <c r="BA9" s="5" t="s">
        <v>108</v>
      </c>
      <c r="BB9" s="5">
        <v>0.5</v>
      </c>
      <c r="BC9" s="3" t="s">
        <v>109</v>
      </c>
      <c r="BD9" s="5" t="s">
        <v>110</v>
      </c>
      <c r="BE9" s="3">
        <v>1.0</v>
      </c>
      <c r="BF9" s="3" t="s">
        <v>240</v>
      </c>
      <c r="BG9" s="5" t="s">
        <v>112</v>
      </c>
      <c r="BH9" s="5">
        <v>0.0</v>
      </c>
      <c r="BI9" s="3" t="s">
        <v>241</v>
      </c>
      <c r="BJ9" s="5" t="s">
        <v>114</v>
      </c>
      <c r="BK9" s="5">
        <v>1.0</v>
      </c>
      <c r="BL9" s="3" t="s">
        <v>115</v>
      </c>
      <c r="BM9" s="5" t="s">
        <v>116</v>
      </c>
      <c r="BN9" s="5">
        <v>1.0</v>
      </c>
      <c r="BO9" s="3" t="s">
        <v>211</v>
      </c>
      <c r="BP9" s="3"/>
      <c r="BQ9" s="3">
        <v>1.0</v>
      </c>
      <c r="BR9" s="3" t="s">
        <v>181</v>
      </c>
      <c r="BS9" s="5" t="s">
        <v>119</v>
      </c>
      <c r="BT9" s="5">
        <v>1.0</v>
      </c>
      <c r="BU9" s="3" t="s">
        <v>242</v>
      </c>
      <c r="BV9" s="5" t="s">
        <v>121</v>
      </c>
      <c r="BW9" s="5">
        <v>0.5</v>
      </c>
      <c r="BX9" s="3" t="s">
        <v>243</v>
      </c>
      <c r="BY9" s="5" t="s">
        <v>123</v>
      </c>
      <c r="BZ9" s="5">
        <v>0.5</v>
      </c>
      <c r="CA9" s="3" t="s">
        <v>97</v>
      </c>
      <c r="CB9" s="3" t="s">
        <v>244</v>
      </c>
      <c r="CC9" s="3" t="s">
        <v>97</v>
      </c>
      <c r="CD9" s="3" t="s">
        <v>199</v>
      </c>
      <c r="CE9" s="3" t="s">
        <v>245</v>
      </c>
      <c r="CF9" s="3" t="s">
        <v>167</v>
      </c>
      <c r="CG9" s="3" t="s">
        <v>246</v>
      </c>
      <c r="CH9" s="3">
        <v>7.0</v>
      </c>
    </row>
    <row r="10" ht="14.25" customHeight="1">
      <c r="A10" s="3">
        <v>44722.7111896181</v>
      </c>
      <c r="B10" s="3" t="s">
        <v>149</v>
      </c>
      <c r="C10" s="3">
        <f t="shared" si="1"/>
        <v>0</v>
      </c>
      <c r="D10" s="3" t="s">
        <v>128</v>
      </c>
      <c r="E10" s="3" t="s">
        <v>129</v>
      </c>
      <c r="F10" s="3">
        <f t="shared" si="2"/>
        <v>3</v>
      </c>
      <c r="G10" s="3" t="s">
        <v>150</v>
      </c>
      <c r="H10" s="3" t="s">
        <v>131</v>
      </c>
      <c r="I10" s="3">
        <v>1.0</v>
      </c>
      <c r="J10" s="3" t="s">
        <v>91</v>
      </c>
      <c r="K10" s="3">
        <f t="shared" si="3"/>
        <v>1</v>
      </c>
      <c r="L10" s="3" t="s">
        <v>133</v>
      </c>
      <c r="M10" s="3">
        <f t="shared" si="4"/>
        <v>0</v>
      </c>
      <c r="N10" s="4"/>
      <c r="O10" s="3" t="s">
        <v>93</v>
      </c>
      <c r="P10" s="3" t="s">
        <v>25</v>
      </c>
      <c r="Q10" s="3">
        <v>0.0</v>
      </c>
      <c r="R10" s="3">
        <v>0.0</v>
      </c>
      <c r="S10" s="3">
        <v>0.0</v>
      </c>
      <c r="T10" s="3">
        <v>0.0</v>
      </c>
      <c r="U10" s="3">
        <v>0.0</v>
      </c>
      <c r="V10" s="3">
        <v>0.0</v>
      </c>
      <c r="W10" s="3">
        <v>0.0</v>
      </c>
      <c r="X10" s="3">
        <v>0.0</v>
      </c>
      <c r="Y10" s="3">
        <v>0.0</v>
      </c>
      <c r="Z10" s="3">
        <v>1.0</v>
      </c>
      <c r="AA10" s="3">
        <v>0.0</v>
      </c>
      <c r="AB10" s="3">
        <v>0.0</v>
      </c>
      <c r="AC10" s="3">
        <v>0.0</v>
      </c>
      <c r="AD10" s="3" t="s">
        <v>247</v>
      </c>
      <c r="AE10" s="5" t="s">
        <v>96</v>
      </c>
      <c r="AF10" s="5">
        <v>0.5</v>
      </c>
      <c r="AG10" s="3" t="s">
        <v>97</v>
      </c>
      <c r="AH10" s="3">
        <v>1.0</v>
      </c>
      <c r="AI10" s="3" t="s">
        <v>248</v>
      </c>
      <c r="AJ10" s="5" t="s">
        <v>99</v>
      </c>
      <c r="AK10" s="5">
        <v>0.0</v>
      </c>
      <c r="AL10" s="3" t="s">
        <v>249</v>
      </c>
      <c r="AM10" s="5" t="s">
        <v>101</v>
      </c>
      <c r="AN10" s="5">
        <v>0.0</v>
      </c>
      <c r="AO10" s="3" t="s">
        <v>97</v>
      </c>
      <c r="AP10" s="3">
        <v>1.0</v>
      </c>
      <c r="AQ10" s="3" t="s">
        <v>250</v>
      </c>
      <c r="AR10" s="5" t="s">
        <v>103</v>
      </c>
      <c r="AS10" s="3">
        <v>1.0</v>
      </c>
      <c r="AT10" s="3" t="s">
        <v>94</v>
      </c>
      <c r="AU10" s="5" t="s">
        <v>104</v>
      </c>
      <c r="AV10" s="5">
        <v>1.0</v>
      </c>
      <c r="AW10" s="3" t="s">
        <v>251</v>
      </c>
      <c r="AX10" s="5" t="s">
        <v>106</v>
      </c>
      <c r="AY10" s="5">
        <v>0.25</v>
      </c>
      <c r="AZ10" s="3" t="s">
        <v>223</v>
      </c>
      <c r="BA10" s="5" t="s">
        <v>108</v>
      </c>
      <c r="BB10" s="5">
        <v>0.5</v>
      </c>
      <c r="BC10" s="3" t="s">
        <v>109</v>
      </c>
      <c r="BD10" s="5" t="s">
        <v>110</v>
      </c>
      <c r="BE10" s="3">
        <v>1.0</v>
      </c>
      <c r="BF10" s="3" t="s">
        <v>252</v>
      </c>
      <c r="BG10" s="5" t="s">
        <v>112</v>
      </c>
      <c r="BH10" s="5">
        <v>0.5</v>
      </c>
      <c r="BI10" s="3" t="s">
        <v>253</v>
      </c>
      <c r="BJ10" s="5" t="s">
        <v>114</v>
      </c>
      <c r="BK10" s="5">
        <v>0.5</v>
      </c>
      <c r="BL10" s="3" t="s">
        <v>115</v>
      </c>
      <c r="BM10" s="5" t="s">
        <v>116</v>
      </c>
      <c r="BN10" s="5">
        <v>1.0</v>
      </c>
      <c r="BO10" s="3" t="s">
        <v>211</v>
      </c>
      <c r="BP10" s="3"/>
      <c r="BQ10" s="3">
        <v>1.0</v>
      </c>
      <c r="BR10" s="3" t="s">
        <v>181</v>
      </c>
      <c r="BS10" s="5" t="s">
        <v>119</v>
      </c>
      <c r="BT10" s="5">
        <v>1.0</v>
      </c>
      <c r="BU10" s="3" t="s">
        <v>254</v>
      </c>
      <c r="BV10" s="5" t="s">
        <v>121</v>
      </c>
      <c r="BW10" s="5">
        <v>0.0</v>
      </c>
      <c r="BX10" s="3" t="s">
        <v>255</v>
      </c>
      <c r="BY10" s="5" t="s">
        <v>123</v>
      </c>
      <c r="BZ10" s="5">
        <v>0.5</v>
      </c>
      <c r="CA10" s="3" t="s">
        <v>97</v>
      </c>
      <c r="CB10" s="3" t="s">
        <v>256</v>
      </c>
      <c r="CC10" s="3" t="s">
        <v>97</v>
      </c>
      <c r="CD10" s="3" t="s">
        <v>165</v>
      </c>
      <c r="CE10" s="3" t="s">
        <v>257</v>
      </c>
      <c r="CF10" s="3" t="s">
        <v>97</v>
      </c>
      <c r="CG10" s="3" t="s">
        <v>258</v>
      </c>
      <c r="CH10" s="3">
        <v>5.0</v>
      </c>
    </row>
    <row r="11" ht="14.25" customHeight="1">
      <c r="A11" s="3">
        <v>44722.7154743056</v>
      </c>
      <c r="B11" s="3" t="s">
        <v>86</v>
      </c>
      <c r="C11" s="3">
        <f t="shared" si="1"/>
        <v>1</v>
      </c>
      <c r="D11" s="3" t="s">
        <v>169</v>
      </c>
      <c r="E11" s="3" t="s">
        <v>170</v>
      </c>
      <c r="F11" s="3">
        <f t="shared" si="2"/>
        <v>2</v>
      </c>
      <c r="G11" s="3" t="s">
        <v>130</v>
      </c>
      <c r="H11" s="3" t="s">
        <v>259</v>
      </c>
      <c r="I11" s="3">
        <v>1.0</v>
      </c>
      <c r="J11" s="3" t="s">
        <v>91</v>
      </c>
      <c r="K11" s="3">
        <f t="shared" si="3"/>
        <v>1</v>
      </c>
      <c r="L11" s="3" t="s">
        <v>133</v>
      </c>
      <c r="M11" s="3">
        <f t="shared" si="4"/>
        <v>0</v>
      </c>
      <c r="N11" s="4"/>
      <c r="O11" s="3" t="s">
        <v>93</v>
      </c>
      <c r="P11" s="3" t="s">
        <v>260</v>
      </c>
      <c r="Q11" s="3">
        <v>1.0</v>
      </c>
      <c r="R11" s="3">
        <v>1.0</v>
      </c>
      <c r="S11" s="3">
        <v>0.0</v>
      </c>
      <c r="T11" s="3">
        <v>0.0</v>
      </c>
      <c r="U11" s="3">
        <v>0.0</v>
      </c>
      <c r="V11" s="3">
        <v>0.0</v>
      </c>
      <c r="W11" s="3">
        <v>0.0</v>
      </c>
      <c r="X11" s="3">
        <v>1.0</v>
      </c>
      <c r="Y11" s="3">
        <v>0.0</v>
      </c>
      <c r="Z11" s="3">
        <v>1.0</v>
      </c>
      <c r="AA11" s="3">
        <v>0.0</v>
      </c>
      <c r="AB11" s="3">
        <v>0.0</v>
      </c>
      <c r="AC11" s="3">
        <v>0.0</v>
      </c>
      <c r="AD11" s="3" t="s">
        <v>261</v>
      </c>
      <c r="AE11" s="5" t="s">
        <v>96</v>
      </c>
      <c r="AF11" s="5">
        <v>0.5</v>
      </c>
      <c r="AG11" s="3" t="s">
        <v>97</v>
      </c>
      <c r="AH11" s="3">
        <v>1.0</v>
      </c>
      <c r="AI11" s="3" t="s">
        <v>262</v>
      </c>
      <c r="AJ11" s="5" t="s">
        <v>99</v>
      </c>
      <c r="AK11" s="5">
        <v>1.0</v>
      </c>
      <c r="AL11" s="3" t="s">
        <v>263</v>
      </c>
      <c r="AM11" s="5" t="s">
        <v>101</v>
      </c>
      <c r="AN11" s="5">
        <v>0.75</v>
      </c>
      <c r="AO11" s="3" t="s">
        <v>167</v>
      </c>
      <c r="AP11" s="3">
        <v>0.0</v>
      </c>
      <c r="AQ11" s="3" t="s">
        <v>264</v>
      </c>
      <c r="AR11" s="5" t="s">
        <v>103</v>
      </c>
      <c r="AS11" s="3">
        <v>1.0</v>
      </c>
      <c r="AT11" s="3" t="s">
        <v>94</v>
      </c>
      <c r="AU11" s="5" t="s">
        <v>104</v>
      </c>
      <c r="AV11" s="5">
        <v>1.0</v>
      </c>
      <c r="AW11" s="3" t="s">
        <v>265</v>
      </c>
      <c r="AX11" s="5" t="s">
        <v>106</v>
      </c>
      <c r="AY11" s="5">
        <v>0.25</v>
      </c>
      <c r="AZ11" s="3" t="s">
        <v>266</v>
      </c>
      <c r="BA11" s="5" t="s">
        <v>108</v>
      </c>
      <c r="BB11" s="5">
        <v>0.5</v>
      </c>
      <c r="BC11" s="3" t="s">
        <v>109</v>
      </c>
      <c r="BD11" s="5" t="s">
        <v>110</v>
      </c>
      <c r="BE11" s="3">
        <v>1.0</v>
      </c>
      <c r="BF11" s="3" t="s">
        <v>267</v>
      </c>
      <c r="BG11" s="5" t="s">
        <v>112</v>
      </c>
      <c r="BH11" s="5">
        <v>0.5</v>
      </c>
      <c r="BI11" s="3" t="s">
        <v>268</v>
      </c>
      <c r="BJ11" s="5" t="s">
        <v>114</v>
      </c>
      <c r="BK11" s="5">
        <v>1.0</v>
      </c>
      <c r="BL11" s="3" t="s">
        <v>115</v>
      </c>
      <c r="BM11" s="5" t="s">
        <v>116</v>
      </c>
      <c r="BN11" s="5">
        <v>1.0</v>
      </c>
      <c r="BO11" s="3" t="s">
        <v>211</v>
      </c>
      <c r="BP11" s="3"/>
      <c r="BQ11" s="3">
        <v>1.0</v>
      </c>
      <c r="BR11" s="3" t="s">
        <v>118</v>
      </c>
      <c r="BS11" s="5" t="s">
        <v>119</v>
      </c>
      <c r="BT11" s="5">
        <v>0.5</v>
      </c>
      <c r="BU11" s="3" t="s">
        <v>196</v>
      </c>
      <c r="BV11" s="5" t="s">
        <v>121</v>
      </c>
      <c r="BW11" s="5">
        <v>0.0</v>
      </c>
      <c r="BX11" s="3" t="s">
        <v>269</v>
      </c>
      <c r="BY11" s="5" t="s">
        <v>123</v>
      </c>
      <c r="BZ11" s="5">
        <v>0.5</v>
      </c>
      <c r="CA11" s="3" t="s">
        <v>97</v>
      </c>
      <c r="CB11" s="3" t="s">
        <v>270</v>
      </c>
      <c r="CC11" s="3" t="s">
        <v>97</v>
      </c>
      <c r="CD11" s="3" t="s">
        <v>165</v>
      </c>
      <c r="CE11" s="3" t="s">
        <v>271</v>
      </c>
      <c r="CF11" s="3" t="s">
        <v>167</v>
      </c>
      <c r="CG11" s="3" t="s">
        <v>272</v>
      </c>
      <c r="CH11" s="3">
        <v>5.0</v>
      </c>
    </row>
    <row r="12" ht="14.25" customHeight="1">
      <c r="A12" s="3">
        <v>44722.7195004745</v>
      </c>
      <c r="B12" s="3" t="s">
        <v>86</v>
      </c>
      <c r="C12" s="3">
        <f t="shared" si="1"/>
        <v>1</v>
      </c>
      <c r="D12" s="3" t="s">
        <v>87</v>
      </c>
      <c r="E12" s="3" t="s">
        <v>88</v>
      </c>
      <c r="F12" s="3">
        <f t="shared" si="2"/>
        <v>1</v>
      </c>
      <c r="G12" s="3" t="s">
        <v>150</v>
      </c>
      <c r="H12" s="3" t="s">
        <v>273</v>
      </c>
      <c r="I12" s="3">
        <v>2.0</v>
      </c>
      <c r="J12" s="3" t="s">
        <v>91</v>
      </c>
      <c r="K12" s="3">
        <f t="shared" si="3"/>
        <v>1</v>
      </c>
      <c r="L12" s="3" t="s">
        <v>133</v>
      </c>
      <c r="M12" s="3">
        <f t="shared" si="4"/>
        <v>0</v>
      </c>
      <c r="N12" s="4"/>
      <c r="O12" s="3" t="s">
        <v>93</v>
      </c>
      <c r="P12" s="3" t="s">
        <v>16</v>
      </c>
      <c r="Q12" s="3">
        <v>1.0</v>
      </c>
      <c r="R12" s="3">
        <v>0.0</v>
      </c>
      <c r="S12" s="3">
        <v>0.0</v>
      </c>
      <c r="T12" s="3">
        <v>0.0</v>
      </c>
      <c r="U12" s="3">
        <v>0.0</v>
      </c>
      <c r="V12" s="3">
        <v>0.0</v>
      </c>
      <c r="W12" s="3">
        <v>0.0</v>
      </c>
      <c r="X12" s="3">
        <v>0.0</v>
      </c>
      <c r="Y12" s="3">
        <v>0.0</v>
      </c>
      <c r="Z12" s="3">
        <v>0.0</v>
      </c>
      <c r="AA12" s="3">
        <v>0.0</v>
      </c>
      <c r="AB12" s="3">
        <v>0.0</v>
      </c>
      <c r="AC12" s="3">
        <v>0.0</v>
      </c>
      <c r="AD12" s="3" t="s">
        <v>274</v>
      </c>
      <c r="AE12" s="5" t="s">
        <v>96</v>
      </c>
      <c r="AF12" s="5">
        <v>0.5</v>
      </c>
      <c r="AG12" s="3" t="s">
        <v>97</v>
      </c>
      <c r="AH12" s="3">
        <v>1.0</v>
      </c>
      <c r="AI12" s="3" t="s">
        <v>275</v>
      </c>
      <c r="AJ12" s="5" t="s">
        <v>99</v>
      </c>
      <c r="AK12" s="5">
        <v>1.0</v>
      </c>
      <c r="AL12" s="3" t="s">
        <v>276</v>
      </c>
      <c r="AM12" s="5" t="s">
        <v>101</v>
      </c>
      <c r="AN12" s="5">
        <v>0.25</v>
      </c>
      <c r="AO12" s="3" t="s">
        <v>97</v>
      </c>
      <c r="AP12" s="3">
        <v>1.0</v>
      </c>
      <c r="AQ12" s="3" t="s">
        <v>277</v>
      </c>
      <c r="AR12" s="5" t="s">
        <v>103</v>
      </c>
      <c r="AS12" s="3">
        <v>1.0</v>
      </c>
      <c r="AT12" s="3" t="s">
        <v>94</v>
      </c>
      <c r="AU12" s="5" t="s">
        <v>104</v>
      </c>
      <c r="AV12" s="5">
        <v>1.0</v>
      </c>
      <c r="AW12" s="3" t="s">
        <v>278</v>
      </c>
      <c r="AX12" s="5" t="s">
        <v>106</v>
      </c>
      <c r="AY12" s="5">
        <v>0.0</v>
      </c>
      <c r="AZ12" s="3" t="s">
        <v>279</v>
      </c>
      <c r="BA12" s="5" t="s">
        <v>108</v>
      </c>
      <c r="BB12" s="5">
        <v>0.75</v>
      </c>
      <c r="BC12" s="3" t="s">
        <v>109</v>
      </c>
      <c r="BD12" s="5" t="s">
        <v>110</v>
      </c>
      <c r="BE12" s="3">
        <v>1.0</v>
      </c>
      <c r="BF12" s="3" t="s">
        <v>280</v>
      </c>
      <c r="BG12" s="5" t="s">
        <v>112</v>
      </c>
      <c r="BH12" s="5">
        <v>0.0</v>
      </c>
      <c r="BI12" s="3" t="s">
        <v>281</v>
      </c>
      <c r="BJ12" s="5" t="s">
        <v>114</v>
      </c>
      <c r="BK12" s="5">
        <v>1.0</v>
      </c>
      <c r="BL12" s="3" t="s">
        <v>115</v>
      </c>
      <c r="BM12" s="5" t="s">
        <v>116</v>
      </c>
      <c r="BN12" s="5">
        <v>1.0</v>
      </c>
      <c r="BO12" s="3" t="s">
        <v>160</v>
      </c>
      <c r="BP12" s="3"/>
      <c r="BQ12" s="3">
        <v>0.0</v>
      </c>
      <c r="BR12" s="3" t="s">
        <v>181</v>
      </c>
      <c r="BS12" s="5" t="s">
        <v>119</v>
      </c>
      <c r="BT12" s="5">
        <v>1.0</v>
      </c>
      <c r="BU12" s="3" t="s">
        <v>282</v>
      </c>
      <c r="BV12" s="5" t="s">
        <v>121</v>
      </c>
      <c r="BW12" s="5">
        <v>0.5</v>
      </c>
      <c r="BX12" s="3" t="s">
        <v>283</v>
      </c>
      <c r="BY12" s="5" t="s">
        <v>123</v>
      </c>
      <c r="BZ12" s="5">
        <v>0.5</v>
      </c>
      <c r="CA12" s="3" t="s">
        <v>97</v>
      </c>
      <c r="CB12" s="3" t="s">
        <v>284</v>
      </c>
      <c r="CC12" s="3" t="s">
        <v>97</v>
      </c>
      <c r="CD12" s="3" t="s">
        <v>199</v>
      </c>
      <c r="CE12" s="3" t="s">
        <v>285</v>
      </c>
      <c r="CF12" s="3" t="s">
        <v>167</v>
      </c>
      <c r="CG12" s="3" t="s">
        <v>286</v>
      </c>
      <c r="CH12" s="3">
        <v>5.0</v>
      </c>
    </row>
    <row r="13" ht="14.25" customHeight="1">
      <c r="A13" s="3">
        <v>44724.6985260185</v>
      </c>
      <c r="B13" s="3" t="s">
        <v>149</v>
      </c>
      <c r="C13" s="3">
        <f t="shared" si="1"/>
        <v>0</v>
      </c>
      <c r="D13" s="3" t="s">
        <v>87</v>
      </c>
      <c r="E13" s="3" t="s">
        <v>88</v>
      </c>
      <c r="F13" s="3">
        <f t="shared" si="2"/>
        <v>1</v>
      </c>
      <c r="G13" s="3" t="s">
        <v>287</v>
      </c>
      <c r="H13" s="3" t="s">
        <v>151</v>
      </c>
      <c r="I13" s="3">
        <v>2.0</v>
      </c>
      <c r="J13" s="3" t="s">
        <v>91</v>
      </c>
      <c r="K13" s="3">
        <f t="shared" si="3"/>
        <v>1</v>
      </c>
      <c r="L13" s="3" t="s">
        <v>133</v>
      </c>
      <c r="M13" s="3">
        <f t="shared" si="4"/>
        <v>0</v>
      </c>
      <c r="N13" s="4"/>
      <c r="O13" s="3" t="s">
        <v>93</v>
      </c>
      <c r="P13" s="3" t="s">
        <v>25</v>
      </c>
      <c r="Q13" s="3">
        <v>0.0</v>
      </c>
      <c r="R13" s="3">
        <v>0.0</v>
      </c>
      <c r="S13" s="3">
        <v>0.0</v>
      </c>
      <c r="T13" s="3">
        <v>0.0</v>
      </c>
      <c r="U13" s="3">
        <v>0.0</v>
      </c>
      <c r="V13" s="3">
        <v>0.0</v>
      </c>
      <c r="W13" s="3">
        <v>0.0</v>
      </c>
      <c r="X13" s="3">
        <v>0.0</v>
      </c>
      <c r="Y13" s="3">
        <v>0.0</v>
      </c>
      <c r="Z13" s="3">
        <v>1.0</v>
      </c>
      <c r="AA13" s="3">
        <v>0.0</v>
      </c>
      <c r="AB13" s="3">
        <v>0.0</v>
      </c>
      <c r="AC13" s="3">
        <v>0.0</v>
      </c>
      <c r="AD13" s="3" t="s">
        <v>288</v>
      </c>
      <c r="AE13" s="5" t="s">
        <v>96</v>
      </c>
      <c r="AF13" s="5">
        <v>0.5</v>
      </c>
      <c r="AG13" s="3" t="s">
        <v>97</v>
      </c>
      <c r="AH13" s="3">
        <v>1.0</v>
      </c>
      <c r="AI13" s="3" t="s">
        <v>289</v>
      </c>
      <c r="AJ13" s="5" t="s">
        <v>99</v>
      </c>
      <c r="AK13" s="5">
        <v>1.0</v>
      </c>
      <c r="AL13" s="3" t="s">
        <v>290</v>
      </c>
      <c r="AM13" s="5" t="s">
        <v>101</v>
      </c>
      <c r="AN13" s="5">
        <v>0.75</v>
      </c>
      <c r="AO13" s="3" t="s">
        <v>167</v>
      </c>
      <c r="AP13" s="3">
        <v>0.0</v>
      </c>
      <c r="AQ13" s="3" t="s">
        <v>291</v>
      </c>
      <c r="AR13" s="5" t="s">
        <v>103</v>
      </c>
      <c r="AS13" s="3">
        <v>1.0</v>
      </c>
      <c r="AT13" s="3" t="s">
        <v>292</v>
      </c>
      <c r="AU13" s="5" t="s">
        <v>104</v>
      </c>
      <c r="AV13" s="5">
        <v>0.5</v>
      </c>
      <c r="AW13" s="3" t="s">
        <v>293</v>
      </c>
      <c r="AX13" s="5" t="s">
        <v>106</v>
      </c>
      <c r="AY13" s="5">
        <v>0.25</v>
      </c>
      <c r="AZ13" s="3" t="s">
        <v>294</v>
      </c>
      <c r="BA13" s="5" t="s">
        <v>108</v>
      </c>
      <c r="BB13" s="5">
        <v>1.0</v>
      </c>
      <c r="BC13" s="3" t="s">
        <v>109</v>
      </c>
      <c r="BD13" s="5" t="s">
        <v>110</v>
      </c>
      <c r="BE13" s="3">
        <v>1.0</v>
      </c>
      <c r="BF13" s="3" t="s">
        <v>295</v>
      </c>
      <c r="BG13" s="5" t="s">
        <v>112</v>
      </c>
      <c r="BH13" s="5">
        <v>0.5</v>
      </c>
      <c r="BI13" s="3" t="s">
        <v>296</v>
      </c>
      <c r="BJ13" s="5" t="s">
        <v>114</v>
      </c>
      <c r="BK13" s="5">
        <v>1.0</v>
      </c>
      <c r="BL13" s="3" t="s">
        <v>115</v>
      </c>
      <c r="BM13" s="5" t="s">
        <v>116</v>
      </c>
      <c r="BN13" s="5">
        <v>1.0</v>
      </c>
      <c r="BO13" s="3" t="s">
        <v>160</v>
      </c>
      <c r="BP13" s="3"/>
      <c r="BQ13" s="3">
        <v>0.0</v>
      </c>
      <c r="BR13" s="3" t="s">
        <v>297</v>
      </c>
      <c r="BS13" s="5" t="s">
        <v>119</v>
      </c>
      <c r="BT13" s="5">
        <v>0.5</v>
      </c>
      <c r="BU13" s="3" t="s">
        <v>298</v>
      </c>
      <c r="BV13" s="5" t="s">
        <v>121</v>
      </c>
      <c r="BW13" s="5">
        <v>0.5</v>
      </c>
      <c r="BX13" s="3" t="s">
        <v>299</v>
      </c>
      <c r="BY13" s="5" t="s">
        <v>123</v>
      </c>
      <c r="BZ13" s="5">
        <v>0.5</v>
      </c>
      <c r="CA13" s="3" t="s">
        <v>97</v>
      </c>
      <c r="CB13" s="3" t="s">
        <v>300</v>
      </c>
      <c r="CC13" s="3" t="s">
        <v>97</v>
      </c>
      <c r="CD13" s="3" t="s">
        <v>125</v>
      </c>
      <c r="CE13" s="3" t="s">
        <v>184</v>
      </c>
      <c r="CF13" s="3" t="s">
        <v>97</v>
      </c>
      <c r="CG13" s="3" t="s">
        <v>301</v>
      </c>
      <c r="CH13" s="3">
        <v>5.0</v>
      </c>
    </row>
    <row r="14" ht="14.25" customHeight="1">
      <c r="A14" s="3">
        <v>44724.7032045139</v>
      </c>
      <c r="B14" s="3" t="s">
        <v>86</v>
      </c>
      <c r="C14" s="3">
        <f t="shared" si="1"/>
        <v>1</v>
      </c>
      <c r="D14" s="3" t="s">
        <v>169</v>
      </c>
      <c r="E14" s="3" t="s">
        <v>170</v>
      </c>
      <c r="F14" s="3">
        <f t="shared" si="2"/>
        <v>2</v>
      </c>
      <c r="G14" s="3" t="s">
        <v>130</v>
      </c>
      <c r="H14" s="3" t="s">
        <v>151</v>
      </c>
      <c r="I14" s="3">
        <v>2.0</v>
      </c>
      <c r="J14" s="3" t="s">
        <v>91</v>
      </c>
      <c r="K14" s="3">
        <f t="shared" si="3"/>
        <v>1</v>
      </c>
      <c r="L14" s="3" t="s">
        <v>133</v>
      </c>
      <c r="M14" s="3">
        <f t="shared" si="4"/>
        <v>0</v>
      </c>
      <c r="N14" s="4"/>
      <c r="O14" s="3" t="s">
        <v>93</v>
      </c>
      <c r="P14" s="3" t="s">
        <v>302</v>
      </c>
      <c r="Q14" s="3">
        <v>0.0</v>
      </c>
      <c r="R14" s="3">
        <v>1.0</v>
      </c>
      <c r="S14" s="3">
        <v>0.0</v>
      </c>
      <c r="T14" s="3">
        <v>0.0</v>
      </c>
      <c r="U14" s="3">
        <v>0.0</v>
      </c>
      <c r="V14" s="3">
        <v>0.0</v>
      </c>
      <c r="W14" s="3">
        <v>0.0</v>
      </c>
      <c r="X14" s="3">
        <v>0.0</v>
      </c>
      <c r="Y14" s="3">
        <v>0.0</v>
      </c>
      <c r="Z14" s="3">
        <v>1.0</v>
      </c>
      <c r="AA14" s="3">
        <v>0.0</v>
      </c>
      <c r="AB14" s="3">
        <v>0.0</v>
      </c>
      <c r="AC14" s="3">
        <v>0.0</v>
      </c>
      <c r="AD14" s="3" t="s">
        <v>303</v>
      </c>
      <c r="AE14" s="5" t="s">
        <v>96</v>
      </c>
      <c r="AF14" s="5">
        <v>0.5</v>
      </c>
      <c r="AG14" s="3" t="s">
        <v>97</v>
      </c>
      <c r="AH14" s="3">
        <v>1.0</v>
      </c>
      <c r="AI14" s="3" t="s">
        <v>304</v>
      </c>
      <c r="AJ14" s="5" t="s">
        <v>99</v>
      </c>
      <c r="AK14" s="5">
        <v>1.0</v>
      </c>
      <c r="AL14" s="3" t="s">
        <v>305</v>
      </c>
      <c r="AM14" s="5" t="s">
        <v>101</v>
      </c>
      <c r="AN14" s="5">
        <v>0.75</v>
      </c>
      <c r="AO14" s="3" t="s">
        <v>97</v>
      </c>
      <c r="AP14" s="3">
        <v>1.0</v>
      </c>
      <c r="AQ14" s="3" t="s">
        <v>306</v>
      </c>
      <c r="AR14" s="5" t="s">
        <v>103</v>
      </c>
      <c r="AS14" s="3">
        <v>1.0</v>
      </c>
      <c r="AT14" s="3" t="s">
        <v>94</v>
      </c>
      <c r="AU14" s="5" t="s">
        <v>104</v>
      </c>
      <c r="AV14" s="5">
        <v>1.0</v>
      </c>
      <c r="AW14" s="3" t="s">
        <v>307</v>
      </c>
      <c r="AX14" s="5" t="s">
        <v>106</v>
      </c>
      <c r="AY14" s="5">
        <v>0.25</v>
      </c>
      <c r="AZ14" s="3" t="s">
        <v>308</v>
      </c>
      <c r="BA14" s="5" t="s">
        <v>108</v>
      </c>
      <c r="BB14" s="5">
        <v>0.75</v>
      </c>
      <c r="BC14" s="3" t="s">
        <v>109</v>
      </c>
      <c r="BD14" s="5" t="s">
        <v>110</v>
      </c>
      <c r="BE14" s="3">
        <v>1.0</v>
      </c>
      <c r="BF14" s="3" t="s">
        <v>309</v>
      </c>
      <c r="BG14" s="5" t="s">
        <v>112</v>
      </c>
      <c r="BH14" s="5">
        <v>0.0</v>
      </c>
      <c r="BI14" s="3" t="s">
        <v>310</v>
      </c>
      <c r="BJ14" s="5" t="s">
        <v>114</v>
      </c>
      <c r="BK14" s="5">
        <v>1.0</v>
      </c>
      <c r="BL14" s="3" t="s">
        <v>115</v>
      </c>
      <c r="BM14" s="5" t="s">
        <v>116</v>
      </c>
      <c r="BN14" s="5">
        <v>1.0</v>
      </c>
      <c r="BO14" s="3" t="s">
        <v>211</v>
      </c>
      <c r="BP14" s="3"/>
      <c r="BQ14" s="3">
        <v>1.0</v>
      </c>
      <c r="BR14" s="3" t="s">
        <v>311</v>
      </c>
      <c r="BS14" s="5" t="s">
        <v>119</v>
      </c>
      <c r="BT14" s="5">
        <v>0.5</v>
      </c>
      <c r="BU14" s="3" t="s">
        <v>312</v>
      </c>
      <c r="BV14" s="5" t="s">
        <v>121</v>
      </c>
      <c r="BW14" s="5">
        <v>0.5</v>
      </c>
      <c r="BX14" s="3" t="s">
        <v>313</v>
      </c>
      <c r="BY14" s="5" t="s">
        <v>123</v>
      </c>
      <c r="BZ14" s="5">
        <v>0.5</v>
      </c>
      <c r="CA14" s="3" t="s">
        <v>97</v>
      </c>
      <c r="CB14" s="3" t="s">
        <v>314</v>
      </c>
      <c r="CC14" s="3" t="s">
        <v>97</v>
      </c>
      <c r="CD14" s="3" t="s">
        <v>165</v>
      </c>
      <c r="CE14" s="3" t="s">
        <v>315</v>
      </c>
      <c r="CF14" s="3" t="s">
        <v>97</v>
      </c>
      <c r="CG14" s="3" t="s">
        <v>316</v>
      </c>
      <c r="CH14" s="3">
        <v>7.0</v>
      </c>
    </row>
    <row r="15" ht="14.25" customHeight="1">
      <c r="A15" s="3">
        <v>44724.7106862963</v>
      </c>
      <c r="B15" s="3" t="s">
        <v>86</v>
      </c>
      <c r="C15" s="3">
        <f t="shared" si="1"/>
        <v>1</v>
      </c>
      <c r="D15" s="3" t="s">
        <v>87</v>
      </c>
      <c r="E15" s="3" t="s">
        <v>88</v>
      </c>
      <c r="F15" s="3">
        <f t="shared" si="2"/>
        <v>1</v>
      </c>
      <c r="G15" s="3" t="s">
        <v>130</v>
      </c>
      <c r="H15" s="3" t="s">
        <v>151</v>
      </c>
      <c r="I15" s="3">
        <v>2.0</v>
      </c>
      <c r="J15" s="3" t="s">
        <v>317</v>
      </c>
      <c r="K15" s="3">
        <f t="shared" si="3"/>
        <v>2</v>
      </c>
      <c r="L15" s="3" t="s">
        <v>133</v>
      </c>
      <c r="M15" s="3">
        <f t="shared" si="4"/>
        <v>0</v>
      </c>
      <c r="N15" s="4"/>
      <c r="O15" s="3" t="s">
        <v>93</v>
      </c>
      <c r="P15" s="3" t="s">
        <v>318</v>
      </c>
      <c r="Q15" s="3">
        <v>1.0</v>
      </c>
      <c r="R15" s="3">
        <v>0.0</v>
      </c>
      <c r="S15" s="3">
        <v>0.0</v>
      </c>
      <c r="T15" s="3">
        <v>0.0</v>
      </c>
      <c r="U15" s="3">
        <v>0.0</v>
      </c>
      <c r="V15" s="3">
        <v>0.0</v>
      </c>
      <c r="W15" s="3">
        <v>1.0</v>
      </c>
      <c r="X15" s="3">
        <v>0.0</v>
      </c>
      <c r="Y15" s="3">
        <v>0.0</v>
      </c>
      <c r="Z15" s="3">
        <v>0.0</v>
      </c>
      <c r="AA15" s="3">
        <v>0.0</v>
      </c>
      <c r="AB15" s="3">
        <v>0.0</v>
      </c>
      <c r="AC15" s="3">
        <v>0.0</v>
      </c>
      <c r="AD15" s="3" t="s">
        <v>319</v>
      </c>
      <c r="AE15" s="5" t="s">
        <v>96</v>
      </c>
      <c r="AF15" s="5">
        <v>0.25</v>
      </c>
      <c r="AG15" s="3" t="s">
        <v>97</v>
      </c>
      <c r="AH15" s="3">
        <v>1.0</v>
      </c>
      <c r="AI15" s="3" t="s">
        <v>320</v>
      </c>
      <c r="AJ15" s="5" t="s">
        <v>99</v>
      </c>
      <c r="AK15" s="5">
        <v>1.0</v>
      </c>
      <c r="AL15" s="3" t="s">
        <v>263</v>
      </c>
      <c r="AM15" s="5" t="s">
        <v>101</v>
      </c>
      <c r="AN15" s="5">
        <v>0.75</v>
      </c>
      <c r="AO15" s="3" t="s">
        <v>97</v>
      </c>
      <c r="AP15" s="3">
        <v>1.0</v>
      </c>
      <c r="AQ15" s="3" t="s">
        <v>321</v>
      </c>
      <c r="AR15" s="5" t="s">
        <v>103</v>
      </c>
      <c r="AS15" s="3">
        <v>1.0</v>
      </c>
      <c r="AT15" s="3" t="s">
        <v>94</v>
      </c>
      <c r="AU15" s="5" t="s">
        <v>104</v>
      </c>
      <c r="AV15" s="5">
        <v>1.0</v>
      </c>
      <c r="AW15" s="3" t="s">
        <v>322</v>
      </c>
      <c r="AX15" s="5" t="s">
        <v>106</v>
      </c>
      <c r="AY15" s="5">
        <v>0.0</v>
      </c>
      <c r="AZ15" s="3" t="s">
        <v>323</v>
      </c>
      <c r="BA15" s="5" t="s">
        <v>108</v>
      </c>
      <c r="BB15" s="5">
        <v>0.75</v>
      </c>
      <c r="BC15" s="3" t="s">
        <v>109</v>
      </c>
      <c r="BD15" s="5" t="s">
        <v>110</v>
      </c>
      <c r="BE15" s="3">
        <v>1.0</v>
      </c>
      <c r="BF15" s="3" t="s">
        <v>324</v>
      </c>
      <c r="BG15" s="5" t="s">
        <v>112</v>
      </c>
      <c r="BH15" s="5">
        <v>0.0</v>
      </c>
      <c r="BI15" s="3" t="s">
        <v>296</v>
      </c>
      <c r="BJ15" s="5" t="s">
        <v>114</v>
      </c>
      <c r="BK15" s="5">
        <v>1.0</v>
      </c>
      <c r="BL15" s="3" t="s">
        <v>115</v>
      </c>
      <c r="BM15" s="5" t="s">
        <v>116</v>
      </c>
      <c r="BN15" s="5">
        <v>1.0</v>
      </c>
      <c r="BO15" s="3" t="s">
        <v>117</v>
      </c>
      <c r="BP15" s="3"/>
      <c r="BQ15" s="3">
        <v>1.0</v>
      </c>
      <c r="BR15" s="3" t="s">
        <v>181</v>
      </c>
      <c r="BS15" s="5" t="s">
        <v>119</v>
      </c>
      <c r="BT15" s="5">
        <v>1.0</v>
      </c>
      <c r="BU15" s="3" t="s">
        <v>325</v>
      </c>
      <c r="BV15" s="5" t="s">
        <v>121</v>
      </c>
      <c r="BW15" s="5">
        <v>0.5</v>
      </c>
      <c r="BX15" s="3" t="s">
        <v>326</v>
      </c>
      <c r="BY15" s="5" t="s">
        <v>123</v>
      </c>
      <c r="BZ15" s="5">
        <v>0.5</v>
      </c>
      <c r="CA15" s="3" t="s">
        <v>97</v>
      </c>
      <c r="CB15" s="3" t="s">
        <v>327</v>
      </c>
      <c r="CC15" s="3" t="s">
        <v>97</v>
      </c>
      <c r="CD15" s="3" t="s">
        <v>125</v>
      </c>
      <c r="CE15" s="3" t="s">
        <v>328</v>
      </c>
      <c r="CF15" s="3" t="s">
        <v>97</v>
      </c>
      <c r="CG15" s="3" t="s">
        <v>329</v>
      </c>
      <c r="CH15" s="3">
        <v>6.0</v>
      </c>
    </row>
    <row r="16" ht="14.25" customHeight="1">
      <c r="A16" s="3">
        <v>44724.7156288773</v>
      </c>
      <c r="B16" s="3" t="s">
        <v>86</v>
      </c>
      <c r="C16" s="3">
        <f t="shared" si="1"/>
        <v>1</v>
      </c>
      <c r="D16" s="3" t="s">
        <v>128</v>
      </c>
      <c r="E16" s="3" t="s">
        <v>129</v>
      </c>
      <c r="F16" s="3">
        <f t="shared" si="2"/>
        <v>3</v>
      </c>
      <c r="G16" s="3" t="s">
        <v>130</v>
      </c>
      <c r="H16" s="3" t="s">
        <v>151</v>
      </c>
      <c r="I16" s="3">
        <v>2.0</v>
      </c>
      <c r="J16" s="3" t="s">
        <v>91</v>
      </c>
      <c r="K16" s="3">
        <f t="shared" si="3"/>
        <v>1</v>
      </c>
      <c r="L16" s="3" t="s">
        <v>133</v>
      </c>
      <c r="M16" s="3">
        <f t="shared" si="4"/>
        <v>0</v>
      </c>
      <c r="N16" s="4"/>
      <c r="O16" s="3" t="s">
        <v>93</v>
      </c>
      <c r="P16" s="3" t="s">
        <v>94</v>
      </c>
      <c r="Q16" s="3">
        <v>0.0</v>
      </c>
      <c r="R16" s="3">
        <v>0.0</v>
      </c>
      <c r="S16" s="3">
        <v>0.0</v>
      </c>
      <c r="T16" s="3">
        <v>0.0</v>
      </c>
      <c r="U16" s="3">
        <v>0.0</v>
      </c>
      <c r="V16" s="3">
        <v>0.0</v>
      </c>
      <c r="W16" s="3">
        <v>0.0</v>
      </c>
      <c r="X16" s="3">
        <v>0.0</v>
      </c>
      <c r="Y16" s="3">
        <v>0.0</v>
      </c>
      <c r="Z16" s="3">
        <v>0.0</v>
      </c>
      <c r="AA16" s="3">
        <v>1.0</v>
      </c>
      <c r="AB16" s="3">
        <v>0.0</v>
      </c>
      <c r="AC16" s="3">
        <v>0.0</v>
      </c>
      <c r="AD16" s="3" t="s">
        <v>330</v>
      </c>
      <c r="AE16" s="5" t="s">
        <v>96</v>
      </c>
      <c r="AF16" s="5">
        <v>0.5</v>
      </c>
      <c r="AG16" s="3" t="s">
        <v>97</v>
      </c>
      <c r="AH16" s="3">
        <v>1.0</v>
      </c>
      <c r="AI16" s="3" t="s">
        <v>331</v>
      </c>
      <c r="AJ16" s="5" t="s">
        <v>99</v>
      </c>
      <c r="AK16" s="5">
        <v>1.0</v>
      </c>
      <c r="AL16" s="3" t="s">
        <v>332</v>
      </c>
      <c r="AM16" s="5" t="s">
        <v>101</v>
      </c>
      <c r="AN16" s="5">
        <v>0.75</v>
      </c>
      <c r="AO16" s="3" t="s">
        <v>97</v>
      </c>
      <c r="AP16" s="3">
        <v>1.0</v>
      </c>
      <c r="AQ16" s="3" t="s">
        <v>333</v>
      </c>
      <c r="AR16" s="5" t="s">
        <v>103</v>
      </c>
      <c r="AS16" s="3">
        <v>1.0</v>
      </c>
      <c r="AT16" s="3" t="s">
        <v>94</v>
      </c>
      <c r="AU16" s="5" t="s">
        <v>104</v>
      </c>
      <c r="AV16" s="5">
        <v>1.0</v>
      </c>
      <c r="AW16" s="3" t="s">
        <v>334</v>
      </c>
      <c r="AX16" s="5" t="s">
        <v>106</v>
      </c>
      <c r="AY16" s="5">
        <v>0.25</v>
      </c>
      <c r="AZ16" s="3" t="s">
        <v>335</v>
      </c>
      <c r="BA16" s="5" t="s">
        <v>108</v>
      </c>
      <c r="BB16" s="5">
        <v>0.75</v>
      </c>
      <c r="BC16" s="3" t="s">
        <v>109</v>
      </c>
      <c r="BD16" s="5" t="s">
        <v>110</v>
      </c>
      <c r="BE16" s="3">
        <v>1.0</v>
      </c>
      <c r="BF16" s="3" t="s">
        <v>336</v>
      </c>
      <c r="BG16" s="5" t="s">
        <v>112</v>
      </c>
      <c r="BH16" s="5">
        <v>0.0</v>
      </c>
      <c r="BI16" s="3" t="s">
        <v>337</v>
      </c>
      <c r="BJ16" s="5" t="s">
        <v>114</v>
      </c>
      <c r="BK16" s="5">
        <v>0.75</v>
      </c>
      <c r="BL16" s="3" t="s">
        <v>115</v>
      </c>
      <c r="BM16" s="5" t="s">
        <v>116</v>
      </c>
      <c r="BN16" s="5">
        <v>1.0</v>
      </c>
      <c r="BO16" s="3" t="s">
        <v>117</v>
      </c>
      <c r="BP16" s="3"/>
      <c r="BQ16" s="3">
        <v>1.0</v>
      </c>
      <c r="BR16" s="3" t="s">
        <v>161</v>
      </c>
      <c r="BS16" s="5" t="s">
        <v>119</v>
      </c>
      <c r="BT16" s="5">
        <v>1.0</v>
      </c>
      <c r="BU16" s="3" t="s">
        <v>338</v>
      </c>
      <c r="BV16" s="5" t="s">
        <v>121</v>
      </c>
      <c r="BW16" s="5">
        <v>0.5</v>
      </c>
      <c r="BX16" s="3" t="s">
        <v>339</v>
      </c>
      <c r="BY16" s="5" t="s">
        <v>123</v>
      </c>
      <c r="BZ16" s="5">
        <v>0.75</v>
      </c>
      <c r="CA16" s="3" t="s">
        <v>97</v>
      </c>
      <c r="CB16" s="3" t="s">
        <v>340</v>
      </c>
      <c r="CC16" s="3" t="s">
        <v>97</v>
      </c>
      <c r="CD16" s="3" t="s">
        <v>125</v>
      </c>
      <c r="CE16" s="3" t="s">
        <v>271</v>
      </c>
      <c r="CF16" s="3" t="s">
        <v>97</v>
      </c>
      <c r="CG16" s="3" t="s">
        <v>341</v>
      </c>
      <c r="CH16" s="3">
        <v>5.0</v>
      </c>
    </row>
    <row r="17" ht="14.25" customHeight="1">
      <c r="A17" s="3">
        <v>44724.9345533333</v>
      </c>
      <c r="B17" s="3" t="s">
        <v>86</v>
      </c>
      <c r="C17" s="3">
        <f t="shared" si="1"/>
        <v>1</v>
      </c>
      <c r="D17" s="3" t="s">
        <v>128</v>
      </c>
      <c r="E17" s="3" t="s">
        <v>129</v>
      </c>
      <c r="F17" s="3">
        <f t="shared" si="2"/>
        <v>3</v>
      </c>
      <c r="G17" s="3" t="s">
        <v>130</v>
      </c>
      <c r="H17" s="3" t="s">
        <v>342</v>
      </c>
      <c r="I17" s="3">
        <v>0.0</v>
      </c>
      <c r="J17" s="3" t="s">
        <v>132</v>
      </c>
      <c r="K17" s="3">
        <f t="shared" si="3"/>
        <v>0</v>
      </c>
      <c r="L17" s="3" t="s">
        <v>133</v>
      </c>
      <c r="M17" s="3">
        <f t="shared" si="4"/>
        <v>0</v>
      </c>
      <c r="N17" s="4"/>
      <c r="O17" s="3" t="s">
        <v>93</v>
      </c>
      <c r="P17" s="3" t="s">
        <v>343</v>
      </c>
      <c r="Q17" s="3">
        <v>0.0</v>
      </c>
      <c r="R17" s="3">
        <v>1.0</v>
      </c>
      <c r="S17" s="3">
        <v>0.0</v>
      </c>
      <c r="T17" s="3">
        <v>0.0</v>
      </c>
      <c r="U17" s="3">
        <v>0.0</v>
      </c>
      <c r="V17" s="3">
        <v>0.0</v>
      </c>
      <c r="W17" s="3">
        <v>0.0</v>
      </c>
      <c r="X17" s="3">
        <v>0.0</v>
      </c>
      <c r="Y17" s="3">
        <v>0.0</v>
      </c>
      <c r="Z17" s="3">
        <v>0.0</v>
      </c>
      <c r="AA17" s="3">
        <v>0.0</v>
      </c>
      <c r="AB17" s="3">
        <v>0.0</v>
      </c>
      <c r="AC17" s="3">
        <v>0.0</v>
      </c>
      <c r="AD17" s="3" t="s">
        <v>344</v>
      </c>
      <c r="AE17" s="5" t="s">
        <v>96</v>
      </c>
      <c r="AF17" s="5">
        <v>0.5</v>
      </c>
      <c r="AG17" s="3" t="s">
        <v>97</v>
      </c>
      <c r="AH17" s="3">
        <v>1.0</v>
      </c>
      <c r="AI17" s="3" t="s">
        <v>345</v>
      </c>
      <c r="AJ17" s="5" t="s">
        <v>99</v>
      </c>
      <c r="AK17" s="5">
        <v>1.0</v>
      </c>
      <c r="AL17" s="3" t="s">
        <v>346</v>
      </c>
      <c r="AM17" s="5" t="s">
        <v>101</v>
      </c>
      <c r="AN17" s="5">
        <v>0.75</v>
      </c>
      <c r="AO17" s="3" t="s">
        <v>97</v>
      </c>
      <c r="AP17" s="3">
        <v>1.0</v>
      </c>
      <c r="AQ17" s="3" t="s">
        <v>347</v>
      </c>
      <c r="AR17" s="5" t="s">
        <v>103</v>
      </c>
      <c r="AS17" s="3">
        <v>1.0</v>
      </c>
      <c r="AT17" s="3" t="s">
        <v>94</v>
      </c>
      <c r="AU17" s="5" t="s">
        <v>104</v>
      </c>
      <c r="AV17" s="5">
        <v>1.0</v>
      </c>
      <c r="AW17" s="3" t="s">
        <v>348</v>
      </c>
      <c r="AX17" s="5" t="s">
        <v>106</v>
      </c>
      <c r="AY17" s="5">
        <v>0.25</v>
      </c>
      <c r="AZ17" s="3" t="s">
        <v>349</v>
      </c>
      <c r="BA17" s="5" t="s">
        <v>108</v>
      </c>
      <c r="BB17" s="5">
        <v>0.75</v>
      </c>
      <c r="BC17" s="3" t="s">
        <v>109</v>
      </c>
      <c r="BD17" s="5" t="s">
        <v>110</v>
      </c>
      <c r="BE17" s="3">
        <v>1.0</v>
      </c>
      <c r="BF17" s="3" t="s">
        <v>350</v>
      </c>
      <c r="BG17" s="5" t="s">
        <v>112</v>
      </c>
      <c r="BH17" s="5">
        <v>0.0</v>
      </c>
      <c r="BI17" s="3" t="s">
        <v>351</v>
      </c>
      <c r="BJ17" s="5" t="s">
        <v>114</v>
      </c>
      <c r="BK17" s="5">
        <v>1.0</v>
      </c>
      <c r="BL17" s="3" t="s">
        <v>115</v>
      </c>
      <c r="BM17" s="5" t="s">
        <v>116</v>
      </c>
      <c r="BN17" s="5">
        <v>1.0</v>
      </c>
      <c r="BO17" s="3" t="s">
        <v>117</v>
      </c>
      <c r="BP17" s="3"/>
      <c r="BQ17" s="3">
        <v>1.0</v>
      </c>
      <c r="BR17" s="3" t="s">
        <v>227</v>
      </c>
      <c r="BS17" s="5" t="s">
        <v>119</v>
      </c>
      <c r="BT17" s="5">
        <v>0.5</v>
      </c>
      <c r="BU17" s="3" t="s">
        <v>352</v>
      </c>
      <c r="BV17" s="5" t="s">
        <v>121</v>
      </c>
      <c r="BW17" s="5">
        <v>0.5</v>
      </c>
      <c r="BX17" s="3" t="s">
        <v>213</v>
      </c>
      <c r="BY17" s="5" t="s">
        <v>123</v>
      </c>
      <c r="BZ17" s="5">
        <v>0.5</v>
      </c>
      <c r="CA17" s="3" t="s">
        <v>97</v>
      </c>
      <c r="CB17" s="3" t="s">
        <v>353</v>
      </c>
      <c r="CC17" s="3" t="s">
        <v>97</v>
      </c>
      <c r="CD17" s="3" t="s">
        <v>125</v>
      </c>
      <c r="CE17" s="3" t="s">
        <v>354</v>
      </c>
      <c r="CF17" s="3" t="s">
        <v>97</v>
      </c>
      <c r="CG17" s="3" t="s">
        <v>355</v>
      </c>
      <c r="CH17" s="3">
        <v>7.0</v>
      </c>
    </row>
    <row r="18" ht="14.25" customHeight="1">
      <c r="A18" s="3">
        <v>44724.9435449884</v>
      </c>
      <c r="B18" s="3" t="s">
        <v>149</v>
      </c>
      <c r="C18" s="3">
        <f t="shared" si="1"/>
        <v>0</v>
      </c>
      <c r="D18" s="3" t="s">
        <v>169</v>
      </c>
      <c r="E18" s="3" t="s">
        <v>170</v>
      </c>
      <c r="F18" s="3">
        <f t="shared" si="2"/>
        <v>2</v>
      </c>
      <c r="G18" s="3" t="s">
        <v>150</v>
      </c>
      <c r="H18" s="3" t="s">
        <v>259</v>
      </c>
      <c r="I18" s="3">
        <v>1.0</v>
      </c>
      <c r="J18" s="3" t="s">
        <v>132</v>
      </c>
      <c r="K18" s="3">
        <f t="shared" si="3"/>
        <v>0</v>
      </c>
      <c r="L18" s="3" t="s">
        <v>133</v>
      </c>
      <c r="M18" s="3">
        <f t="shared" si="4"/>
        <v>0</v>
      </c>
      <c r="N18" s="4"/>
      <c r="O18" s="3" t="s">
        <v>93</v>
      </c>
      <c r="P18" s="3" t="s">
        <v>25</v>
      </c>
      <c r="Q18" s="3">
        <v>0.0</v>
      </c>
      <c r="R18" s="3">
        <v>0.0</v>
      </c>
      <c r="S18" s="3">
        <v>0.0</v>
      </c>
      <c r="T18" s="3">
        <v>0.0</v>
      </c>
      <c r="U18" s="3">
        <v>0.0</v>
      </c>
      <c r="V18" s="3">
        <v>0.0</v>
      </c>
      <c r="W18" s="3">
        <v>0.0</v>
      </c>
      <c r="X18" s="3">
        <v>0.0</v>
      </c>
      <c r="Y18" s="3">
        <v>0.0</v>
      </c>
      <c r="Z18" s="3">
        <v>1.0</v>
      </c>
      <c r="AA18" s="3">
        <v>0.0</v>
      </c>
      <c r="AB18" s="3">
        <v>0.0</v>
      </c>
      <c r="AC18" s="3">
        <v>0.0</v>
      </c>
      <c r="AD18" s="3" t="s">
        <v>356</v>
      </c>
      <c r="AE18" s="5" t="s">
        <v>96</v>
      </c>
      <c r="AF18" s="5">
        <v>0.5</v>
      </c>
      <c r="AG18" s="3" t="s">
        <v>97</v>
      </c>
      <c r="AH18" s="3">
        <v>1.0</v>
      </c>
      <c r="AI18" s="3" t="s">
        <v>345</v>
      </c>
      <c r="AJ18" s="5" t="s">
        <v>99</v>
      </c>
      <c r="AK18" s="5">
        <v>1.0</v>
      </c>
      <c r="AL18" s="3" t="s">
        <v>357</v>
      </c>
      <c r="AM18" s="5" t="s">
        <v>101</v>
      </c>
      <c r="AN18" s="5">
        <v>1.0</v>
      </c>
      <c r="AO18" s="3" t="s">
        <v>97</v>
      </c>
      <c r="AP18" s="3">
        <v>1.0</v>
      </c>
      <c r="AQ18" s="3" t="s">
        <v>358</v>
      </c>
      <c r="AR18" s="5" t="s">
        <v>103</v>
      </c>
      <c r="AS18" s="3">
        <v>1.0</v>
      </c>
      <c r="AT18" s="3" t="s">
        <v>94</v>
      </c>
      <c r="AU18" s="5" t="s">
        <v>104</v>
      </c>
      <c r="AV18" s="5">
        <v>1.0</v>
      </c>
      <c r="AW18" s="3" t="s">
        <v>359</v>
      </c>
      <c r="AX18" s="5" t="s">
        <v>106</v>
      </c>
      <c r="AY18" s="5">
        <v>0.25</v>
      </c>
      <c r="AZ18" s="3" t="s">
        <v>360</v>
      </c>
      <c r="BA18" s="5" t="s">
        <v>108</v>
      </c>
      <c r="BB18" s="5">
        <v>0.5</v>
      </c>
      <c r="BC18" s="3" t="s">
        <v>109</v>
      </c>
      <c r="BD18" s="5" t="s">
        <v>110</v>
      </c>
      <c r="BE18" s="3">
        <v>1.0</v>
      </c>
      <c r="BF18" s="3" t="s">
        <v>361</v>
      </c>
      <c r="BG18" s="5" t="s">
        <v>112</v>
      </c>
      <c r="BH18" s="5">
        <v>0.75</v>
      </c>
      <c r="BI18" s="3" t="s">
        <v>362</v>
      </c>
      <c r="BJ18" s="5" t="s">
        <v>114</v>
      </c>
      <c r="BK18" s="5">
        <v>1.0</v>
      </c>
      <c r="BL18" s="3" t="s">
        <v>115</v>
      </c>
      <c r="BM18" s="5" t="s">
        <v>116</v>
      </c>
      <c r="BN18" s="5">
        <v>1.0</v>
      </c>
      <c r="BO18" s="3" t="s">
        <v>211</v>
      </c>
      <c r="BP18" s="3"/>
      <c r="BQ18" s="3">
        <v>1.0</v>
      </c>
      <c r="BR18" s="3" t="s">
        <v>363</v>
      </c>
      <c r="BS18" s="5" t="s">
        <v>119</v>
      </c>
      <c r="BT18" s="5">
        <v>1.0</v>
      </c>
      <c r="BU18" s="3" t="s">
        <v>364</v>
      </c>
      <c r="BV18" s="5" t="s">
        <v>121</v>
      </c>
      <c r="BW18" s="5">
        <v>0.5</v>
      </c>
      <c r="BX18" s="3" t="s">
        <v>365</v>
      </c>
      <c r="BY18" s="5" t="s">
        <v>123</v>
      </c>
      <c r="BZ18" s="5">
        <v>0.5</v>
      </c>
      <c r="CA18" s="3" t="s">
        <v>97</v>
      </c>
      <c r="CB18" s="3" t="s">
        <v>366</v>
      </c>
      <c r="CC18" s="3" t="s">
        <v>167</v>
      </c>
      <c r="CD18" s="3" t="s">
        <v>231</v>
      </c>
      <c r="CE18" s="3" t="s">
        <v>367</v>
      </c>
      <c r="CF18" s="3" t="s">
        <v>97</v>
      </c>
      <c r="CG18" s="3" t="s">
        <v>368</v>
      </c>
      <c r="CH18" s="3">
        <v>7.0</v>
      </c>
    </row>
    <row r="19" ht="14.25" customHeight="1">
      <c r="A19" s="3">
        <v>44724.9486754514</v>
      </c>
      <c r="B19" s="3" t="s">
        <v>149</v>
      </c>
      <c r="C19" s="3">
        <f t="shared" si="1"/>
        <v>0</v>
      </c>
      <c r="D19" s="3" t="s">
        <v>128</v>
      </c>
      <c r="E19" s="3" t="s">
        <v>129</v>
      </c>
      <c r="F19" s="3">
        <f t="shared" si="2"/>
        <v>3</v>
      </c>
      <c r="G19" s="3" t="s">
        <v>150</v>
      </c>
      <c r="H19" s="3" t="s">
        <v>131</v>
      </c>
      <c r="I19" s="3">
        <v>1.0</v>
      </c>
      <c r="J19" s="3" t="s">
        <v>91</v>
      </c>
      <c r="K19" s="3">
        <f t="shared" si="3"/>
        <v>1</v>
      </c>
      <c r="L19" s="3" t="s">
        <v>133</v>
      </c>
      <c r="M19" s="3">
        <f t="shared" si="4"/>
        <v>0</v>
      </c>
      <c r="N19" s="4"/>
      <c r="O19" s="3" t="s">
        <v>93</v>
      </c>
      <c r="P19" s="3" t="s">
        <v>25</v>
      </c>
      <c r="Q19" s="3">
        <v>0.0</v>
      </c>
      <c r="R19" s="3">
        <v>0.0</v>
      </c>
      <c r="S19" s="3">
        <v>0.0</v>
      </c>
      <c r="T19" s="3">
        <v>0.0</v>
      </c>
      <c r="U19" s="3">
        <v>0.0</v>
      </c>
      <c r="V19" s="3">
        <v>0.0</v>
      </c>
      <c r="W19" s="3">
        <v>0.0</v>
      </c>
      <c r="X19" s="3">
        <v>0.0</v>
      </c>
      <c r="Y19" s="3">
        <v>0.0</v>
      </c>
      <c r="Z19" s="3">
        <v>1.0</v>
      </c>
      <c r="AA19" s="3">
        <v>0.0</v>
      </c>
      <c r="AB19" s="3">
        <v>0.0</v>
      </c>
      <c r="AC19" s="3">
        <v>0.0</v>
      </c>
      <c r="AD19" s="3" t="s">
        <v>369</v>
      </c>
      <c r="AE19" s="5" t="s">
        <v>96</v>
      </c>
      <c r="AF19" s="5">
        <v>0.25</v>
      </c>
      <c r="AG19" s="3" t="s">
        <v>167</v>
      </c>
      <c r="AH19" s="3">
        <v>0.0</v>
      </c>
      <c r="AI19" s="3" t="s">
        <v>254</v>
      </c>
      <c r="AJ19" s="5" t="s">
        <v>99</v>
      </c>
      <c r="AK19" s="5">
        <v>0.0</v>
      </c>
      <c r="AL19" s="3" t="s">
        <v>370</v>
      </c>
      <c r="AM19" s="5" t="s">
        <v>101</v>
      </c>
      <c r="AN19" s="5">
        <v>0.5</v>
      </c>
      <c r="AO19" s="3" t="s">
        <v>97</v>
      </c>
      <c r="AP19" s="3">
        <v>1.0</v>
      </c>
      <c r="AQ19" s="3" t="s">
        <v>371</v>
      </c>
      <c r="AR19" s="5" t="s">
        <v>103</v>
      </c>
      <c r="AS19" s="3">
        <v>1.0</v>
      </c>
      <c r="AT19" s="3" t="s">
        <v>94</v>
      </c>
      <c r="AU19" s="5" t="s">
        <v>104</v>
      </c>
      <c r="AV19" s="5">
        <v>1.0</v>
      </c>
      <c r="AW19" s="3" t="s">
        <v>372</v>
      </c>
      <c r="AX19" s="5" t="s">
        <v>106</v>
      </c>
      <c r="AY19" s="5">
        <v>0.25</v>
      </c>
      <c r="AZ19" s="3" t="s">
        <v>373</v>
      </c>
      <c r="BA19" s="5" t="s">
        <v>108</v>
      </c>
      <c r="BB19" s="5">
        <v>0.5</v>
      </c>
      <c r="BC19" s="3" t="s">
        <v>109</v>
      </c>
      <c r="BD19" s="5" t="s">
        <v>110</v>
      </c>
      <c r="BE19" s="3">
        <v>1.0</v>
      </c>
      <c r="BF19" s="3" t="s">
        <v>374</v>
      </c>
      <c r="BG19" s="5" t="s">
        <v>112</v>
      </c>
      <c r="BH19" s="5">
        <v>0.5</v>
      </c>
      <c r="BI19" s="3" t="s">
        <v>296</v>
      </c>
      <c r="BJ19" s="5" t="s">
        <v>114</v>
      </c>
      <c r="BK19" s="5">
        <v>1.0</v>
      </c>
      <c r="BL19" s="3" t="s">
        <v>115</v>
      </c>
      <c r="BM19" s="5" t="s">
        <v>116</v>
      </c>
      <c r="BN19" s="5">
        <v>1.0</v>
      </c>
      <c r="BO19" s="3" t="s">
        <v>211</v>
      </c>
      <c r="BP19" s="3"/>
      <c r="BQ19" s="3">
        <v>1.0</v>
      </c>
      <c r="BR19" s="3" t="s">
        <v>181</v>
      </c>
      <c r="BS19" s="5" t="s">
        <v>119</v>
      </c>
      <c r="BT19" s="5">
        <v>1.0</v>
      </c>
      <c r="BU19" s="3" t="s">
        <v>375</v>
      </c>
      <c r="BV19" s="5" t="s">
        <v>121</v>
      </c>
      <c r="BW19" s="5">
        <v>0.5</v>
      </c>
      <c r="BX19" s="3" t="s">
        <v>376</v>
      </c>
      <c r="BY19" s="5" t="s">
        <v>123</v>
      </c>
      <c r="BZ19" s="5">
        <v>0.5</v>
      </c>
      <c r="CA19" s="3" t="s">
        <v>97</v>
      </c>
      <c r="CB19" s="3" t="s">
        <v>377</v>
      </c>
      <c r="CC19" s="3" t="s">
        <v>97</v>
      </c>
      <c r="CD19" s="3" t="s">
        <v>165</v>
      </c>
      <c r="CE19" s="3" t="s">
        <v>378</v>
      </c>
      <c r="CF19" s="3" t="s">
        <v>97</v>
      </c>
      <c r="CG19" s="3" t="s">
        <v>379</v>
      </c>
      <c r="CH19" s="3">
        <v>5.0</v>
      </c>
    </row>
    <row r="20" ht="14.25" customHeight="1">
      <c r="A20" s="3">
        <v>44724.9590465509</v>
      </c>
      <c r="B20" s="3" t="s">
        <v>86</v>
      </c>
      <c r="C20" s="3">
        <f t="shared" si="1"/>
        <v>1</v>
      </c>
      <c r="D20" s="3" t="s">
        <v>128</v>
      </c>
      <c r="E20" s="3" t="s">
        <v>129</v>
      </c>
      <c r="F20" s="3">
        <f t="shared" si="2"/>
        <v>3</v>
      </c>
      <c r="G20" s="3" t="s">
        <v>150</v>
      </c>
      <c r="H20" s="3" t="s">
        <v>131</v>
      </c>
      <c r="I20" s="3">
        <v>1.0</v>
      </c>
      <c r="J20" s="3" t="s">
        <v>132</v>
      </c>
      <c r="K20" s="3">
        <f t="shared" si="3"/>
        <v>0</v>
      </c>
      <c r="L20" s="3" t="s">
        <v>133</v>
      </c>
      <c r="M20" s="3">
        <f t="shared" si="4"/>
        <v>0</v>
      </c>
      <c r="N20" s="4"/>
      <c r="O20" s="3" t="s">
        <v>93</v>
      </c>
      <c r="P20" s="3" t="s">
        <v>380</v>
      </c>
      <c r="Q20" s="3">
        <v>1.0</v>
      </c>
      <c r="R20" s="3">
        <v>0.0</v>
      </c>
      <c r="S20" s="3">
        <v>0.0</v>
      </c>
      <c r="T20" s="3">
        <v>0.0</v>
      </c>
      <c r="U20" s="3">
        <v>0.0</v>
      </c>
      <c r="V20" s="3">
        <v>0.0</v>
      </c>
      <c r="W20" s="3">
        <v>0.0</v>
      </c>
      <c r="X20" s="3">
        <v>0.0</v>
      </c>
      <c r="Y20" s="3">
        <v>0.0</v>
      </c>
      <c r="Z20" s="3">
        <v>1.0</v>
      </c>
      <c r="AA20" s="3">
        <v>0.0</v>
      </c>
      <c r="AB20" s="3">
        <v>0.0</v>
      </c>
      <c r="AC20" s="3">
        <v>0.0</v>
      </c>
      <c r="AD20" s="3" t="s">
        <v>381</v>
      </c>
      <c r="AE20" s="5" t="s">
        <v>96</v>
      </c>
      <c r="AF20" s="5">
        <v>0.5</v>
      </c>
      <c r="AG20" s="3" t="s">
        <v>97</v>
      </c>
      <c r="AH20" s="3">
        <v>1.0</v>
      </c>
      <c r="AI20" s="3" t="s">
        <v>382</v>
      </c>
      <c r="AJ20" s="5" t="s">
        <v>99</v>
      </c>
      <c r="AK20" s="5">
        <v>1.0</v>
      </c>
      <c r="AL20" s="3" t="s">
        <v>383</v>
      </c>
      <c r="AM20" s="5" t="s">
        <v>101</v>
      </c>
      <c r="AN20" s="5">
        <v>0.75</v>
      </c>
      <c r="AO20" s="3" t="s">
        <v>97</v>
      </c>
      <c r="AP20" s="3">
        <v>1.0</v>
      </c>
      <c r="AQ20" s="3" t="s">
        <v>384</v>
      </c>
      <c r="AR20" s="5" t="s">
        <v>103</v>
      </c>
      <c r="AS20" s="3">
        <v>1.0</v>
      </c>
      <c r="AT20" s="3" t="s">
        <v>94</v>
      </c>
      <c r="AU20" s="5" t="s">
        <v>104</v>
      </c>
      <c r="AV20" s="5">
        <v>1.0</v>
      </c>
      <c r="AW20" s="3" t="s">
        <v>385</v>
      </c>
      <c r="AX20" s="5" t="s">
        <v>106</v>
      </c>
      <c r="AY20" s="5">
        <v>0.25</v>
      </c>
      <c r="AZ20" s="3" t="s">
        <v>386</v>
      </c>
      <c r="BA20" s="5" t="s">
        <v>108</v>
      </c>
      <c r="BB20" s="5">
        <v>0.75</v>
      </c>
      <c r="BC20" s="3" t="s">
        <v>109</v>
      </c>
      <c r="BD20" s="5" t="s">
        <v>110</v>
      </c>
      <c r="BE20" s="3">
        <v>1.0</v>
      </c>
      <c r="BF20" s="3" t="s">
        <v>387</v>
      </c>
      <c r="BG20" s="5" t="s">
        <v>112</v>
      </c>
      <c r="BH20" s="5">
        <v>0.0</v>
      </c>
      <c r="BI20" s="3" t="s">
        <v>388</v>
      </c>
      <c r="BJ20" s="5" t="s">
        <v>114</v>
      </c>
      <c r="BK20" s="5">
        <v>1.0</v>
      </c>
      <c r="BL20" s="3" t="s">
        <v>115</v>
      </c>
      <c r="BM20" s="5" t="s">
        <v>116</v>
      </c>
      <c r="BN20" s="5">
        <v>1.0</v>
      </c>
      <c r="BO20" s="3" t="s">
        <v>211</v>
      </c>
      <c r="BP20" s="3"/>
      <c r="BQ20" s="3">
        <v>1.0</v>
      </c>
      <c r="BR20" s="3" t="s">
        <v>181</v>
      </c>
      <c r="BS20" s="5" t="s">
        <v>119</v>
      </c>
      <c r="BT20" s="5">
        <v>1.0</v>
      </c>
      <c r="BU20" s="3" t="s">
        <v>389</v>
      </c>
      <c r="BV20" s="5" t="s">
        <v>121</v>
      </c>
      <c r="BW20" s="5">
        <v>0.5</v>
      </c>
      <c r="BX20" s="3" t="s">
        <v>390</v>
      </c>
      <c r="BY20" s="5" t="s">
        <v>123</v>
      </c>
      <c r="BZ20" s="5">
        <v>0.5</v>
      </c>
      <c r="CA20" s="3" t="s">
        <v>97</v>
      </c>
      <c r="CB20" s="3" t="s">
        <v>146</v>
      </c>
      <c r="CC20" s="3" t="s">
        <v>97</v>
      </c>
      <c r="CD20" s="3" t="s">
        <v>165</v>
      </c>
      <c r="CE20" s="3" t="s">
        <v>391</v>
      </c>
      <c r="CF20" s="3" t="s">
        <v>97</v>
      </c>
      <c r="CG20" s="3" t="s">
        <v>392</v>
      </c>
      <c r="CH20" s="3">
        <v>7.0</v>
      </c>
    </row>
    <row r="21" ht="14.25" customHeight="1">
      <c r="A21" s="3">
        <v>44725.0029343287</v>
      </c>
      <c r="B21" s="3" t="s">
        <v>86</v>
      </c>
      <c r="C21" s="3">
        <f t="shared" si="1"/>
        <v>1</v>
      </c>
      <c r="D21" s="3" t="s">
        <v>393</v>
      </c>
      <c r="E21" s="3" t="s">
        <v>394</v>
      </c>
      <c r="F21" s="3">
        <f t="shared" si="2"/>
        <v>0</v>
      </c>
      <c r="G21" s="3" t="s">
        <v>130</v>
      </c>
      <c r="H21" s="3" t="s">
        <v>395</v>
      </c>
      <c r="I21" s="3">
        <v>2.0</v>
      </c>
      <c r="J21" s="3" t="s">
        <v>91</v>
      </c>
      <c r="K21" s="3">
        <f t="shared" si="3"/>
        <v>1</v>
      </c>
      <c r="L21" s="3" t="s">
        <v>133</v>
      </c>
      <c r="M21" s="3">
        <f t="shared" si="4"/>
        <v>0</v>
      </c>
      <c r="N21" s="4"/>
      <c r="O21" s="3" t="s">
        <v>93</v>
      </c>
      <c r="P21" s="3" t="s">
        <v>94</v>
      </c>
      <c r="Q21" s="3">
        <v>0.0</v>
      </c>
      <c r="R21" s="3">
        <v>0.0</v>
      </c>
      <c r="S21" s="3">
        <v>0.0</v>
      </c>
      <c r="T21" s="3">
        <v>0.0</v>
      </c>
      <c r="U21" s="3">
        <v>0.0</v>
      </c>
      <c r="V21" s="3">
        <v>0.0</v>
      </c>
      <c r="W21" s="3">
        <v>0.0</v>
      </c>
      <c r="X21" s="3">
        <v>0.0</v>
      </c>
      <c r="Y21" s="3">
        <v>0.0</v>
      </c>
      <c r="Z21" s="3">
        <v>0.0</v>
      </c>
      <c r="AA21" s="3">
        <v>1.0</v>
      </c>
      <c r="AB21" s="3">
        <v>0.0</v>
      </c>
      <c r="AC21" s="3">
        <v>0.0</v>
      </c>
      <c r="AD21" s="3" t="s">
        <v>396</v>
      </c>
      <c r="AE21" s="5" t="s">
        <v>96</v>
      </c>
      <c r="AF21" s="5">
        <v>0.25</v>
      </c>
      <c r="AG21" s="3" t="s">
        <v>97</v>
      </c>
      <c r="AH21" s="3">
        <v>1.0</v>
      </c>
      <c r="AI21" s="3" t="s">
        <v>249</v>
      </c>
      <c r="AJ21" s="5" t="s">
        <v>99</v>
      </c>
      <c r="AK21" s="5">
        <v>0.0</v>
      </c>
      <c r="AL21" s="3" t="s">
        <v>397</v>
      </c>
      <c r="AM21" s="5" t="s">
        <v>101</v>
      </c>
      <c r="AN21" s="5">
        <v>0.75</v>
      </c>
      <c r="AO21" s="3" t="s">
        <v>167</v>
      </c>
      <c r="AP21" s="3">
        <v>0.0</v>
      </c>
      <c r="AQ21" s="3" t="s">
        <v>398</v>
      </c>
      <c r="AR21" s="5" t="s">
        <v>103</v>
      </c>
      <c r="AS21" s="3">
        <v>1.0</v>
      </c>
      <c r="AT21" s="3" t="s">
        <v>94</v>
      </c>
      <c r="AU21" s="5" t="s">
        <v>104</v>
      </c>
      <c r="AV21" s="5">
        <v>1.0</v>
      </c>
      <c r="AW21" s="3" t="s">
        <v>399</v>
      </c>
      <c r="AX21" s="5" t="s">
        <v>106</v>
      </c>
      <c r="AY21" s="5">
        <v>0.0</v>
      </c>
      <c r="AZ21" s="3" t="s">
        <v>400</v>
      </c>
      <c r="BA21" s="5" t="s">
        <v>108</v>
      </c>
      <c r="BB21" s="5">
        <v>0.5</v>
      </c>
      <c r="BC21" s="3" t="s">
        <v>109</v>
      </c>
      <c r="BD21" s="5" t="s">
        <v>110</v>
      </c>
      <c r="BE21" s="3">
        <v>1.0</v>
      </c>
      <c r="BF21" s="3" t="s">
        <v>401</v>
      </c>
      <c r="BG21" s="5" t="s">
        <v>112</v>
      </c>
      <c r="BH21" s="5">
        <v>0.5</v>
      </c>
      <c r="BI21" s="3" t="s">
        <v>388</v>
      </c>
      <c r="BJ21" s="5" t="s">
        <v>114</v>
      </c>
      <c r="BK21" s="5">
        <v>1.0</v>
      </c>
      <c r="BL21" s="3" t="s">
        <v>115</v>
      </c>
      <c r="BM21" s="5" t="s">
        <v>116</v>
      </c>
      <c r="BN21" s="5">
        <v>1.0</v>
      </c>
      <c r="BO21" s="3" t="s">
        <v>211</v>
      </c>
      <c r="BP21" s="3"/>
      <c r="BQ21" s="3">
        <v>1.0</v>
      </c>
      <c r="BR21" s="3" t="s">
        <v>402</v>
      </c>
      <c r="BS21" s="5" t="s">
        <v>119</v>
      </c>
      <c r="BT21" s="5">
        <v>0.5</v>
      </c>
      <c r="BU21" s="3" t="s">
        <v>403</v>
      </c>
      <c r="BV21" s="5" t="s">
        <v>121</v>
      </c>
      <c r="BW21" s="5">
        <v>0.5</v>
      </c>
      <c r="BX21" s="3" t="s">
        <v>404</v>
      </c>
      <c r="BY21" s="5" t="s">
        <v>123</v>
      </c>
      <c r="BZ21" s="5">
        <v>0.5</v>
      </c>
      <c r="CA21" s="3" t="s">
        <v>97</v>
      </c>
      <c r="CB21" s="3" t="s">
        <v>405</v>
      </c>
      <c r="CC21" s="3" t="s">
        <v>97</v>
      </c>
      <c r="CD21" s="3" t="s">
        <v>165</v>
      </c>
      <c r="CE21" s="3" t="s">
        <v>406</v>
      </c>
      <c r="CF21" s="3" t="s">
        <v>97</v>
      </c>
      <c r="CG21" s="3" t="s">
        <v>407</v>
      </c>
      <c r="CH21" s="3">
        <v>5.0</v>
      </c>
    </row>
    <row r="22" ht="14.25" customHeight="1">
      <c r="A22" s="3">
        <v>44725.0086111111</v>
      </c>
      <c r="B22" s="3" t="s">
        <v>149</v>
      </c>
      <c r="C22" s="3">
        <f t="shared" si="1"/>
        <v>0</v>
      </c>
      <c r="D22" s="3" t="s">
        <v>169</v>
      </c>
      <c r="E22" s="3" t="s">
        <v>170</v>
      </c>
      <c r="F22" s="3">
        <f t="shared" si="2"/>
        <v>2</v>
      </c>
      <c r="G22" s="3" t="s">
        <v>150</v>
      </c>
      <c r="H22" s="3" t="s">
        <v>202</v>
      </c>
      <c r="I22" s="3">
        <v>1.0</v>
      </c>
      <c r="J22" s="3" t="s">
        <v>91</v>
      </c>
      <c r="K22" s="3">
        <f t="shared" si="3"/>
        <v>1</v>
      </c>
      <c r="L22" s="3" t="s">
        <v>133</v>
      </c>
      <c r="M22" s="3">
        <f t="shared" si="4"/>
        <v>0</v>
      </c>
      <c r="N22" s="4"/>
      <c r="O22" s="3" t="s">
        <v>93</v>
      </c>
      <c r="P22" s="3" t="s">
        <v>94</v>
      </c>
      <c r="Q22" s="3">
        <v>0.0</v>
      </c>
      <c r="R22" s="3">
        <v>0.0</v>
      </c>
      <c r="S22" s="3">
        <v>0.0</v>
      </c>
      <c r="T22" s="3">
        <v>0.0</v>
      </c>
      <c r="U22" s="3">
        <v>0.0</v>
      </c>
      <c r="V22" s="3">
        <v>0.0</v>
      </c>
      <c r="W22" s="3">
        <v>0.0</v>
      </c>
      <c r="X22" s="3">
        <v>0.0</v>
      </c>
      <c r="Y22" s="3">
        <v>0.0</v>
      </c>
      <c r="Z22" s="3">
        <v>0.0</v>
      </c>
      <c r="AA22" s="3">
        <v>1.0</v>
      </c>
      <c r="AB22" s="3">
        <v>0.0</v>
      </c>
      <c r="AC22" s="3">
        <v>0.0</v>
      </c>
      <c r="AD22" s="3" t="s">
        <v>408</v>
      </c>
      <c r="AE22" s="5" t="s">
        <v>96</v>
      </c>
      <c r="AF22" s="5">
        <v>0.25</v>
      </c>
      <c r="AG22" s="3" t="s">
        <v>97</v>
      </c>
      <c r="AH22" s="3">
        <v>1.0</v>
      </c>
      <c r="AI22" s="3" t="s">
        <v>409</v>
      </c>
      <c r="AJ22" s="5" t="s">
        <v>99</v>
      </c>
      <c r="AK22" s="5">
        <v>1.0</v>
      </c>
      <c r="AL22" s="3" t="s">
        <v>410</v>
      </c>
      <c r="AM22" s="5" t="s">
        <v>101</v>
      </c>
      <c r="AN22" s="5">
        <v>0.5</v>
      </c>
      <c r="AO22" s="3" t="s">
        <v>97</v>
      </c>
      <c r="AP22" s="3">
        <v>1.0</v>
      </c>
      <c r="AQ22" s="3" t="s">
        <v>411</v>
      </c>
      <c r="AR22" s="5" t="s">
        <v>103</v>
      </c>
      <c r="AS22" s="3">
        <v>1.0</v>
      </c>
      <c r="AT22" s="3" t="s">
        <v>94</v>
      </c>
      <c r="AU22" s="5" t="s">
        <v>104</v>
      </c>
      <c r="AV22" s="5">
        <v>1.0</v>
      </c>
      <c r="AW22" s="3" t="s">
        <v>412</v>
      </c>
      <c r="AX22" s="5" t="s">
        <v>106</v>
      </c>
      <c r="AY22" s="5">
        <v>0.25</v>
      </c>
      <c r="AZ22" s="3" t="s">
        <v>413</v>
      </c>
      <c r="BA22" s="5" t="s">
        <v>108</v>
      </c>
      <c r="BB22" s="5">
        <v>0.5</v>
      </c>
      <c r="BC22" s="3" t="s">
        <v>109</v>
      </c>
      <c r="BD22" s="5" t="s">
        <v>110</v>
      </c>
      <c r="BE22" s="3">
        <v>1.0</v>
      </c>
      <c r="BF22" s="3" t="s">
        <v>414</v>
      </c>
      <c r="BG22" s="5" t="s">
        <v>112</v>
      </c>
      <c r="BH22" s="5">
        <v>0.0</v>
      </c>
      <c r="BI22" s="3" t="s">
        <v>415</v>
      </c>
      <c r="BJ22" s="5" t="s">
        <v>114</v>
      </c>
      <c r="BK22" s="5">
        <v>1.0</v>
      </c>
      <c r="BL22" s="3" t="s">
        <v>115</v>
      </c>
      <c r="BM22" s="5" t="s">
        <v>116</v>
      </c>
      <c r="BN22" s="5">
        <v>1.0</v>
      </c>
      <c r="BO22" s="3" t="s">
        <v>211</v>
      </c>
      <c r="BP22" s="3"/>
      <c r="BQ22" s="3">
        <v>1.0</v>
      </c>
      <c r="BR22" s="3" t="s">
        <v>161</v>
      </c>
      <c r="BS22" s="5" t="s">
        <v>119</v>
      </c>
      <c r="BT22" s="5">
        <v>1.0</v>
      </c>
      <c r="BU22" s="3" t="s">
        <v>416</v>
      </c>
      <c r="BV22" s="5" t="s">
        <v>121</v>
      </c>
      <c r="BW22" s="5">
        <v>0.5</v>
      </c>
      <c r="BX22" s="3" t="s">
        <v>417</v>
      </c>
      <c r="BY22" s="5" t="s">
        <v>123</v>
      </c>
      <c r="BZ22" s="5">
        <v>0.5</v>
      </c>
      <c r="CA22" s="3" t="s">
        <v>97</v>
      </c>
      <c r="CB22" s="3" t="s">
        <v>418</v>
      </c>
      <c r="CC22" s="3" t="s">
        <v>97</v>
      </c>
      <c r="CD22" s="3" t="s">
        <v>165</v>
      </c>
      <c r="CE22" s="3" t="s">
        <v>419</v>
      </c>
      <c r="CF22" s="3" t="s">
        <v>97</v>
      </c>
      <c r="CG22" s="3" t="s">
        <v>420</v>
      </c>
      <c r="CH22" s="3">
        <v>6.0</v>
      </c>
    </row>
    <row r="23" ht="14.25" customHeight="1">
      <c r="A23" s="3">
        <v>44725.0124225116</v>
      </c>
      <c r="B23" s="3" t="s">
        <v>86</v>
      </c>
      <c r="C23" s="3">
        <f t="shared" si="1"/>
        <v>1</v>
      </c>
      <c r="D23" s="3" t="s">
        <v>87</v>
      </c>
      <c r="E23" s="3" t="s">
        <v>88</v>
      </c>
      <c r="F23" s="3">
        <f t="shared" si="2"/>
        <v>1</v>
      </c>
      <c r="G23" s="3" t="s">
        <v>130</v>
      </c>
      <c r="H23" s="3" t="s">
        <v>151</v>
      </c>
      <c r="I23" s="3">
        <v>2.0</v>
      </c>
      <c r="J23" s="3" t="s">
        <v>91</v>
      </c>
      <c r="K23" s="3">
        <f t="shared" si="3"/>
        <v>1</v>
      </c>
      <c r="L23" s="3" t="s">
        <v>133</v>
      </c>
      <c r="M23" s="3">
        <f t="shared" si="4"/>
        <v>0</v>
      </c>
      <c r="N23" s="4"/>
      <c r="O23" s="3" t="s">
        <v>93</v>
      </c>
      <c r="P23" s="3" t="s">
        <v>94</v>
      </c>
      <c r="Q23" s="3">
        <v>0.0</v>
      </c>
      <c r="R23" s="3">
        <v>0.0</v>
      </c>
      <c r="S23" s="3">
        <v>0.0</v>
      </c>
      <c r="T23" s="3">
        <v>0.0</v>
      </c>
      <c r="U23" s="3">
        <v>0.0</v>
      </c>
      <c r="V23" s="3">
        <v>0.0</v>
      </c>
      <c r="W23" s="3">
        <v>0.0</v>
      </c>
      <c r="X23" s="3">
        <v>0.0</v>
      </c>
      <c r="Y23" s="3">
        <v>0.0</v>
      </c>
      <c r="Z23" s="3">
        <v>0.0</v>
      </c>
      <c r="AA23" s="3">
        <v>1.0</v>
      </c>
      <c r="AB23" s="3">
        <v>0.0</v>
      </c>
      <c r="AC23" s="3">
        <v>0.0</v>
      </c>
      <c r="AD23" s="3" t="s">
        <v>421</v>
      </c>
      <c r="AE23" s="5" t="s">
        <v>96</v>
      </c>
      <c r="AF23" s="5">
        <v>0.25</v>
      </c>
      <c r="AG23" s="3" t="s">
        <v>97</v>
      </c>
      <c r="AH23" s="3">
        <v>1.0</v>
      </c>
      <c r="AI23" s="3" t="s">
        <v>422</v>
      </c>
      <c r="AJ23" s="5" t="s">
        <v>99</v>
      </c>
      <c r="AK23" s="5">
        <v>1.0</v>
      </c>
      <c r="AL23" s="3" t="s">
        <v>423</v>
      </c>
      <c r="AM23" s="5" t="s">
        <v>101</v>
      </c>
      <c r="AN23" s="5">
        <v>0.5</v>
      </c>
      <c r="AO23" s="3" t="s">
        <v>97</v>
      </c>
      <c r="AP23" s="3">
        <v>1.0</v>
      </c>
      <c r="AQ23" s="3" t="s">
        <v>424</v>
      </c>
      <c r="AR23" s="5" t="s">
        <v>103</v>
      </c>
      <c r="AS23" s="3">
        <v>1.0</v>
      </c>
      <c r="AT23" s="3" t="s">
        <v>94</v>
      </c>
      <c r="AU23" s="5" t="s">
        <v>104</v>
      </c>
      <c r="AV23" s="5">
        <v>1.0</v>
      </c>
      <c r="AW23" s="3" t="s">
        <v>425</v>
      </c>
      <c r="AX23" s="5" t="s">
        <v>106</v>
      </c>
      <c r="AY23" s="5">
        <v>0.25</v>
      </c>
      <c r="AZ23" s="3" t="s">
        <v>426</v>
      </c>
      <c r="BA23" s="5" t="s">
        <v>108</v>
      </c>
      <c r="BB23" s="5">
        <v>0.75</v>
      </c>
      <c r="BC23" s="3" t="s">
        <v>109</v>
      </c>
      <c r="BD23" s="5" t="s">
        <v>110</v>
      </c>
      <c r="BE23" s="3">
        <v>1.0</v>
      </c>
      <c r="BF23" s="3" t="s">
        <v>427</v>
      </c>
      <c r="BG23" s="5" t="s">
        <v>112</v>
      </c>
      <c r="BH23" s="5">
        <v>0.0</v>
      </c>
      <c r="BI23" s="3" t="s">
        <v>428</v>
      </c>
      <c r="BJ23" s="5" t="s">
        <v>114</v>
      </c>
      <c r="BK23" s="5">
        <v>1.0</v>
      </c>
      <c r="BL23" s="3" t="s">
        <v>115</v>
      </c>
      <c r="BM23" s="5" t="s">
        <v>116</v>
      </c>
      <c r="BN23" s="5">
        <v>1.0</v>
      </c>
      <c r="BO23" s="3" t="s">
        <v>117</v>
      </c>
      <c r="BP23" s="3"/>
      <c r="BQ23" s="3">
        <v>1.0</v>
      </c>
      <c r="BR23" s="3" t="s">
        <v>227</v>
      </c>
      <c r="BS23" s="5" t="s">
        <v>119</v>
      </c>
      <c r="BT23" s="5">
        <v>0.5</v>
      </c>
      <c r="BU23" s="3" t="s">
        <v>429</v>
      </c>
      <c r="BV23" s="5" t="s">
        <v>121</v>
      </c>
      <c r="BW23" s="5">
        <v>0.5</v>
      </c>
      <c r="BX23" s="3" t="s">
        <v>430</v>
      </c>
      <c r="BY23" s="5" t="s">
        <v>123</v>
      </c>
      <c r="BZ23" s="5">
        <v>0.5</v>
      </c>
      <c r="CA23" s="3" t="s">
        <v>97</v>
      </c>
      <c r="CB23" s="3" t="s">
        <v>431</v>
      </c>
      <c r="CC23" s="3" t="s">
        <v>97</v>
      </c>
      <c r="CD23" s="3" t="s">
        <v>165</v>
      </c>
      <c r="CE23" s="3" t="s">
        <v>432</v>
      </c>
      <c r="CF23" s="3" t="s">
        <v>167</v>
      </c>
      <c r="CG23" s="3" t="s">
        <v>433</v>
      </c>
      <c r="CH23" s="3">
        <v>6.0</v>
      </c>
    </row>
    <row r="24" ht="14.25" customHeight="1">
      <c r="A24" s="3">
        <v>44725.0177314699</v>
      </c>
      <c r="B24" s="3" t="s">
        <v>86</v>
      </c>
      <c r="C24" s="3">
        <f t="shared" si="1"/>
        <v>1</v>
      </c>
      <c r="D24" s="3" t="s">
        <v>169</v>
      </c>
      <c r="E24" s="3" t="s">
        <v>170</v>
      </c>
      <c r="F24" s="3">
        <f t="shared" si="2"/>
        <v>2</v>
      </c>
      <c r="G24" s="3" t="s">
        <v>130</v>
      </c>
      <c r="H24" s="3" t="s">
        <v>434</v>
      </c>
      <c r="I24" s="3">
        <v>0.0</v>
      </c>
      <c r="J24" s="3" t="s">
        <v>132</v>
      </c>
      <c r="K24" s="3">
        <f t="shared" si="3"/>
        <v>0</v>
      </c>
      <c r="L24" s="3" t="s">
        <v>133</v>
      </c>
      <c r="M24" s="3">
        <f t="shared" si="4"/>
        <v>0</v>
      </c>
      <c r="N24" s="4"/>
      <c r="O24" s="3" t="s">
        <v>93</v>
      </c>
      <c r="P24" s="3" t="s">
        <v>16</v>
      </c>
      <c r="Q24" s="3">
        <v>1.0</v>
      </c>
      <c r="R24" s="3">
        <v>0.0</v>
      </c>
      <c r="S24" s="3">
        <v>0.0</v>
      </c>
      <c r="T24" s="3">
        <v>0.0</v>
      </c>
      <c r="U24" s="3">
        <v>0.0</v>
      </c>
      <c r="V24" s="3">
        <v>0.0</v>
      </c>
      <c r="W24" s="3">
        <v>0.0</v>
      </c>
      <c r="X24" s="3">
        <v>0.0</v>
      </c>
      <c r="Y24" s="3">
        <v>0.0</v>
      </c>
      <c r="Z24" s="3">
        <v>0.0</v>
      </c>
      <c r="AA24" s="3">
        <v>0.0</v>
      </c>
      <c r="AB24" s="3">
        <v>0.0</v>
      </c>
      <c r="AC24" s="3">
        <v>0.0</v>
      </c>
      <c r="AD24" s="3" t="s">
        <v>435</v>
      </c>
      <c r="AE24" s="5" t="s">
        <v>96</v>
      </c>
      <c r="AF24" s="5">
        <v>0.5</v>
      </c>
      <c r="AG24" s="3" t="s">
        <v>97</v>
      </c>
      <c r="AH24" s="3">
        <v>1.0</v>
      </c>
      <c r="AI24" s="3" t="s">
        <v>436</v>
      </c>
      <c r="AJ24" s="5" t="s">
        <v>99</v>
      </c>
      <c r="AK24" s="5">
        <v>1.0</v>
      </c>
      <c r="AL24" s="3" t="s">
        <v>437</v>
      </c>
      <c r="AM24" s="5" t="s">
        <v>101</v>
      </c>
      <c r="AN24" s="5">
        <v>0.75</v>
      </c>
      <c r="AO24" s="3" t="s">
        <v>97</v>
      </c>
      <c r="AP24" s="3">
        <v>1.0</v>
      </c>
      <c r="AQ24" s="3" t="s">
        <v>438</v>
      </c>
      <c r="AR24" s="5" t="s">
        <v>103</v>
      </c>
      <c r="AS24" s="3">
        <v>1.0</v>
      </c>
      <c r="AT24" s="3" t="s">
        <v>94</v>
      </c>
      <c r="AU24" s="5" t="s">
        <v>104</v>
      </c>
      <c r="AV24" s="5">
        <v>1.0</v>
      </c>
      <c r="AW24" s="3" t="s">
        <v>439</v>
      </c>
      <c r="AX24" s="5" t="s">
        <v>106</v>
      </c>
      <c r="AY24" s="5">
        <v>0.0</v>
      </c>
      <c r="AZ24" s="3" t="s">
        <v>440</v>
      </c>
      <c r="BA24" s="5" t="s">
        <v>108</v>
      </c>
      <c r="BB24" s="5">
        <v>0.5</v>
      </c>
      <c r="BC24" s="3" t="s">
        <v>109</v>
      </c>
      <c r="BD24" s="5" t="s">
        <v>110</v>
      </c>
      <c r="BE24" s="3">
        <v>1.0</v>
      </c>
      <c r="BF24" s="3" t="s">
        <v>441</v>
      </c>
      <c r="BG24" s="5" t="s">
        <v>112</v>
      </c>
      <c r="BH24" s="5">
        <v>0.5</v>
      </c>
      <c r="BI24" s="3" t="s">
        <v>442</v>
      </c>
      <c r="BJ24" s="5" t="s">
        <v>114</v>
      </c>
      <c r="BK24" s="5">
        <v>1.0</v>
      </c>
      <c r="BL24" s="3" t="s">
        <v>115</v>
      </c>
      <c r="BM24" s="5" t="s">
        <v>116</v>
      </c>
      <c r="BN24" s="5">
        <v>1.0</v>
      </c>
      <c r="BO24" s="3" t="s">
        <v>117</v>
      </c>
      <c r="BP24" s="3"/>
      <c r="BQ24" s="3">
        <v>1.0</v>
      </c>
      <c r="BR24" s="3" t="s">
        <v>161</v>
      </c>
      <c r="BS24" s="5" t="s">
        <v>119</v>
      </c>
      <c r="BT24" s="5">
        <v>1.0</v>
      </c>
      <c r="BU24" s="3" t="s">
        <v>443</v>
      </c>
      <c r="BV24" s="5" t="s">
        <v>121</v>
      </c>
      <c r="BW24" s="5">
        <v>0.5</v>
      </c>
      <c r="BX24" s="3" t="s">
        <v>444</v>
      </c>
      <c r="BY24" s="5" t="s">
        <v>123</v>
      </c>
      <c r="BZ24" s="5">
        <v>0.5</v>
      </c>
      <c r="CA24" s="3" t="s">
        <v>97</v>
      </c>
      <c r="CB24" s="3" t="s">
        <v>445</v>
      </c>
      <c r="CC24" s="3" t="s">
        <v>97</v>
      </c>
      <c r="CD24" s="3" t="s">
        <v>165</v>
      </c>
      <c r="CE24" s="3" t="s">
        <v>446</v>
      </c>
      <c r="CF24" s="3" t="s">
        <v>97</v>
      </c>
      <c r="CG24" s="3" t="s">
        <v>447</v>
      </c>
      <c r="CH24" s="3">
        <v>6.0</v>
      </c>
    </row>
    <row r="25" ht="14.25" customHeight="1">
      <c r="A25" s="3">
        <v>44725.3050179167</v>
      </c>
      <c r="B25" s="3" t="s">
        <v>149</v>
      </c>
      <c r="C25" s="3">
        <f t="shared" si="1"/>
        <v>0</v>
      </c>
      <c r="D25" s="3" t="s">
        <v>128</v>
      </c>
      <c r="E25" s="3" t="s">
        <v>129</v>
      </c>
      <c r="F25" s="3">
        <f t="shared" si="2"/>
        <v>3</v>
      </c>
      <c r="G25" s="3" t="s">
        <v>150</v>
      </c>
      <c r="H25" s="3" t="s">
        <v>448</v>
      </c>
      <c r="I25" s="3">
        <v>1.0</v>
      </c>
      <c r="J25" s="3" t="s">
        <v>91</v>
      </c>
      <c r="K25" s="3">
        <f t="shared" si="3"/>
        <v>1</v>
      </c>
      <c r="L25" s="3" t="s">
        <v>133</v>
      </c>
      <c r="M25" s="3">
        <f t="shared" si="4"/>
        <v>0</v>
      </c>
      <c r="N25" s="4"/>
      <c r="O25" s="3" t="s">
        <v>93</v>
      </c>
      <c r="P25" s="3" t="s">
        <v>25</v>
      </c>
      <c r="Q25" s="3">
        <v>0.0</v>
      </c>
      <c r="R25" s="3">
        <v>0.0</v>
      </c>
      <c r="S25" s="3">
        <v>0.0</v>
      </c>
      <c r="T25" s="3">
        <v>0.0</v>
      </c>
      <c r="U25" s="3">
        <v>0.0</v>
      </c>
      <c r="V25" s="3">
        <v>0.0</v>
      </c>
      <c r="W25" s="3">
        <v>0.0</v>
      </c>
      <c r="X25" s="3">
        <v>0.0</v>
      </c>
      <c r="Y25" s="3">
        <v>0.0</v>
      </c>
      <c r="Z25" s="3">
        <v>1.0</v>
      </c>
      <c r="AA25" s="3">
        <v>0.0</v>
      </c>
      <c r="AB25" s="3">
        <v>0.0</v>
      </c>
      <c r="AC25" s="3">
        <v>0.0</v>
      </c>
      <c r="AD25" s="3" t="s">
        <v>449</v>
      </c>
      <c r="AE25" s="5" t="s">
        <v>96</v>
      </c>
      <c r="AF25" s="5">
        <v>0.5</v>
      </c>
      <c r="AG25" s="3" t="s">
        <v>97</v>
      </c>
      <c r="AH25" s="3">
        <v>1.0</v>
      </c>
      <c r="AI25" s="3" t="s">
        <v>450</v>
      </c>
      <c r="AJ25" s="5" t="s">
        <v>99</v>
      </c>
      <c r="AK25" s="5">
        <v>1.0</v>
      </c>
      <c r="AL25" s="3" t="s">
        <v>451</v>
      </c>
      <c r="AM25" s="5" t="s">
        <v>101</v>
      </c>
      <c r="AN25" s="5">
        <v>1.0</v>
      </c>
      <c r="AO25" s="3" t="s">
        <v>97</v>
      </c>
      <c r="AP25" s="3">
        <v>1.0</v>
      </c>
      <c r="AQ25" s="3" t="s">
        <v>452</v>
      </c>
      <c r="AR25" s="5" t="s">
        <v>103</v>
      </c>
      <c r="AS25" s="3">
        <v>1.0</v>
      </c>
      <c r="AT25" s="3" t="s">
        <v>292</v>
      </c>
      <c r="AU25" s="5" t="s">
        <v>104</v>
      </c>
      <c r="AV25" s="5">
        <v>0.5</v>
      </c>
      <c r="AW25" s="3" t="s">
        <v>453</v>
      </c>
      <c r="AX25" s="5" t="s">
        <v>106</v>
      </c>
      <c r="AY25" s="5">
        <v>0.25</v>
      </c>
      <c r="AZ25" s="3" t="s">
        <v>454</v>
      </c>
      <c r="BA25" s="5" t="s">
        <v>108</v>
      </c>
      <c r="BB25" s="5">
        <v>0.75</v>
      </c>
      <c r="BC25" s="3" t="s">
        <v>109</v>
      </c>
      <c r="BD25" s="5" t="s">
        <v>110</v>
      </c>
      <c r="BE25" s="3">
        <v>1.0</v>
      </c>
      <c r="BF25" s="3" t="s">
        <v>455</v>
      </c>
      <c r="BG25" s="5" t="s">
        <v>112</v>
      </c>
      <c r="BH25" s="5">
        <v>0.5</v>
      </c>
      <c r="BI25" s="3" t="s">
        <v>456</v>
      </c>
      <c r="BJ25" s="5" t="s">
        <v>114</v>
      </c>
      <c r="BK25" s="5">
        <v>0.5</v>
      </c>
      <c r="BL25" s="3" t="s">
        <v>457</v>
      </c>
      <c r="BM25" s="5" t="s">
        <v>116</v>
      </c>
      <c r="BN25" s="5">
        <v>0.25</v>
      </c>
      <c r="BO25" s="3" t="s">
        <v>211</v>
      </c>
      <c r="BP25" s="3"/>
      <c r="BQ25" s="3">
        <v>1.0</v>
      </c>
      <c r="BR25" s="3" t="s">
        <v>161</v>
      </c>
      <c r="BS25" s="5" t="s">
        <v>119</v>
      </c>
      <c r="BT25" s="5">
        <v>1.0</v>
      </c>
      <c r="BU25" s="3" t="s">
        <v>458</v>
      </c>
      <c r="BV25" s="5" t="s">
        <v>121</v>
      </c>
      <c r="BW25" s="5">
        <v>0.5</v>
      </c>
      <c r="BX25" s="3" t="s">
        <v>197</v>
      </c>
      <c r="BY25" s="5" t="s">
        <v>123</v>
      </c>
      <c r="BZ25" s="5">
        <v>0.25</v>
      </c>
      <c r="CA25" s="3" t="s">
        <v>167</v>
      </c>
      <c r="CB25" s="3" t="s">
        <v>459</v>
      </c>
      <c r="CC25" s="3" t="s">
        <v>97</v>
      </c>
      <c r="CD25" s="3" t="s">
        <v>125</v>
      </c>
      <c r="CE25" s="3" t="s">
        <v>460</v>
      </c>
      <c r="CF25" s="3" t="s">
        <v>97</v>
      </c>
      <c r="CG25" s="3" t="s">
        <v>460</v>
      </c>
      <c r="CH25" s="3">
        <v>5.0</v>
      </c>
    </row>
    <row r="26" ht="14.25" customHeight="1">
      <c r="A26" s="3">
        <v>44725.3088938889</v>
      </c>
      <c r="B26" s="3" t="s">
        <v>149</v>
      </c>
      <c r="C26" s="3">
        <f t="shared" si="1"/>
        <v>0</v>
      </c>
      <c r="D26" s="3" t="s">
        <v>128</v>
      </c>
      <c r="E26" s="3" t="s">
        <v>129</v>
      </c>
      <c r="F26" s="3">
        <f t="shared" si="2"/>
        <v>3</v>
      </c>
      <c r="G26" s="3" t="s">
        <v>150</v>
      </c>
      <c r="H26" s="3" t="s">
        <v>342</v>
      </c>
      <c r="I26" s="3">
        <v>0.0</v>
      </c>
      <c r="J26" s="3" t="s">
        <v>132</v>
      </c>
      <c r="K26" s="3">
        <f t="shared" si="3"/>
        <v>0</v>
      </c>
      <c r="L26" s="3" t="s">
        <v>133</v>
      </c>
      <c r="M26" s="3">
        <f t="shared" si="4"/>
        <v>0</v>
      </c>
      <c r="N26" s="4"/>
      <c r="O26" s="3" t="s">
        <v>93</v>
      </c>
      <c r="P26" s="3" t="s">
        <v>25</v>
      </c>
      <c r="Q26" s="3">
        <v>0.0</v>
      </c>
      <c r="R26" s="3">
        <v>0.0</v>
      </c>
      <c r="S26" s="3">
        <v>0.0</v>
      </c>
      <c r="T26" s="3">
        <v>0.0</v>
      </c>
      <c r="U26" s="3">
        <v>0.0</v>
      </c>
      <c r="V26" s="3">
        <v>0.0</v>
      </c>
      <c r="W26" s="3">
        <v>0.0</v>
      </c>
      <c r="X26" s="3">
        <v>0.0</v>
      </c>
      <c r="Y26" s="3">
        <v>0.0</v>
      </c>
      <c r="Z26" s="3">
        <v>1.0</v>
      </c>
      <c r="AA26" s="3">
        <v>0.0</v>
      </c>
      <c r="AB26" s="3">
        <v>0.0</v>
      </c>
      <c r="AC26" s="3">
        <v>0.0</v>
      </c>
      <c r="AD26" s="3" t="s">
        <v>461</v>
      </c>
      <c r="AE26" s="5" t="s">
        <v>96</v>
      </c>
      <c r="AF26" s="5">
        <v>0.5</v>
      </c>
      <c r="AG26" s="3" t="s">
        <v>97</v>
      </c>
      <c r="AH26" s="3">
        <v>1.0</v>
      </c>
      <c r="AI26" s="3" t="s">
        <v>462</v>
      </c>
      <c r="AJ26" s="5" t="s">
        <v>99</v>
      </c>
      <c r="AK26" s="5">
        <v>0.0</v>
      </c>
      <c r="AL26" s="3" t="s">
        <v>410</v>
      </c>
      <c r="AM26" s="5" t="s">
        <v>101</v>
      </c>
      <c r="AN26" s="5">
        <v>0.5</v>
      </c>
      <c r="AO26" s="3" t="s">
        <v>97</v>
      </c>
      <c r="AP26" s="3">
        <v>1.0</v>
      </c>
      <c r="AQ26" s="3" t="s">
        <v>463</v>
      </c>
      <c r="AR26" s="5" t="s">
        <v>103</v>
      </c>
      <c r="AS26" s="3">
        <v>1.0</v>
      </c>
      <c r="AT26" s="3" t="s">
        <v>94</v>
      </c>
      <c r="AU26" s="5" t="s">
        <v>104</v>
      </c>
      <c r="AV26" s="5">
        <v>1.0</v>
      </c>
      <c r="AW26" s="3" t="s">
        <v>464</v>
      </c>
      <c r="AX26" s="5" t="s">
        <v>106</v>
      </c>
      <c r="AY26" s="5">
        <v>0.25</v>
      </c>
      <c r="AZ26" s="3" t="s">
        <v>266</v>
      </c>
      <c r="BA26" s="5" t="s">
        <v>108</v>
      </c>
      <c r="BB26" s="5">
        <v>0.5</v>
      </c>
      <c r="BC26" s="3" t="s">
        <v>109</v>
      </c>
      <c r="BD26" s="5" t="s">
        <v>110</v>
      </c>
      <c r="BE26" s="3">
        <v>1.0</v>
      </c>
      <c r="BF26" s="3" t="s">
        <v>441</v>
      </c>
      <c r="BG26" s="5" t="s">
        <v>112</v>
      </c>
      <c r="BH26" s="5">
        <v>0.5</v>
      </c>
      <c r="BI26" s="3" t="s">
        <v>456</v>
      </c>
      <c r="BJ26" s="5" t="s">
        <v>114</v>
      </c>
      <c r="BK26" s="5">
        <v>0.5</v>
      </c>
      <c r="BL26" s="3" t="s">
        <v>465</v>
      </c>
      <c r="BM26" s="5" t="s">
        <v>116</v>
      </c>
      <c r="BN26" s="5">
        <v>0.25</v>
      </c>
      <c r="BO26" s="3" t="s">
        <v>211</v>
      </c>
      <c r="BP26" s="3"/>
      <c r="BQ26" s="3">
        <v>1.0</v>
      </c>
      <c r="BR26" s="3" t="s">
        <v>118</v>
      </c>
      <c r="BS26" s="5" t="s">
        <v>119</v>
      </c>
      <c r="BT26" s="5">
        <v>0.5</v>
      </c>
      <c r="BU26" s="3" t="s">
        <v>466</v>
      </c>
      <c r="BV26" s="5" t="s">
        <v>121</v>
      </c>
      <c r="BW26" s="5">
        <v>0.5</v>
      </c>
      <c r="BX26" s="3" t="s">
        <v>467</v>
      </c>
      <c r="BY26" s="5" t="s">
        <v>123</v>
      </c>
      <c r="BZ26" s="5">
        <v>0.5</v>
      </c>
      <c r="CA26" s="3" t="s">
        <v>97</v>
      </c>
      <c r="CB26" s="3" t="s">
        <v>468</v>
      </c>
      <c r="CC26" s="3" t="s">
        <v>97</v>
      </c>
      <c r="CD26" s="3" t="s">
        <v>125</v>
      </c>
      <c r="CE26" s="3" t="s">
        <v>469</v>
      </c>
      <c r="CF26" s="3" t="s">
        <v>97</v>
      </c>
      <c r="CG26" s="3" t="s">
        <v>470</v>
      </c>
      <c r="CH26" s="3">
        <v>5.0</v>
      </c>
    </row>
    <row r="27" ht="14.25" customHeight="1">
      <c r="A27" s="3">
        <v>44725.3135617824</v>
      </c>
      <c r="B27" s="3" t="s">
        <v>86</v>
      </c>
      <c r="C27" s="3">
        <f t="shared" si="1"/>
        <v>1</v>
      </c>
      <c r="D27" s="3" t="s">
        <v>169</v>
      </c>
      <c r="E27" s="3" t="s">
        <v>170</v>
      </c>
      <c r="F27" s="3">
        <f t="shared" si="2"/>
        <v>2</v>
      </c>
      <c r="G27" s="3" t="s">
        <v>130</v>
      </c>
      <c r="H27" s="3" t="s">
        <v>151</v>
      </c>
      <c r="I27" s="3">
        <v>2.0</v>
      </c>
      <c r="J27" s="3" t="s">
        <v>91</v>
      </c>
      <c r="K27" s="3">
        <f t="shared" si="3"/>
        <v>1</v>
      </c>
      <c r="L27" s="3" t="s">
        <v>133</v>
      </c>
      <c r="M27" s="3">
        <f t="shared" si="4"/>
        <v>0</v>
      </c>
      <c r="N27" s="4"/>
      <c r="O27" s="3" t="s">
        <v>93</v>
      </c>
      <c r="P27" s="3" t="s">
        <v>16</v>
      </c>
      <c r="Q27" s="3">
        <v>1.0</v>
      </c>
      <c r="R27" s="3">
        <v>0.0</v>
      </c>
      <c r="S27" s="3">
        <v>0.0</v>
      </c>
      <c r="T27" s="3">
        <v>0.0</v>
      </c>
      <c r="U27" s="3">
        <v>0.0</v>
      </c>
      <c r="V27" s="3">
        <v>0.0</v>
      </c>
      <c r="W27" s="3">
        <v>0.0</v>
      </c>
      <c r="X27" s="3">
        <v>0.0</v>
      </c>
      <c r="Y27" s="3">
        <v>0.0</v>
      </c>
      <c r="Z27" s="3">
        <v>0.0</v>
      </c>
      <c r="AA27" s="3">
        <v>0.0</v>
      </c>
      <c r="AB27" s="3">
        <v>0.0</v>
      </c>
      <c r="AC27" s="3">
        <v>0.0</v>
      </c>
      <c r="AD27" s="3" t="s">
        <v>471</v>
      </c>
      <c r="AE27" s="5" t="s">
        <v>96</v>
      </c>
      <c r="AF27" s="5">
        <v>0.5</v>
      </c>
      <c r="AG27" s="3" t="s">
        <v>97</v>
      </c>
      <c r="AH27" s="3">
        <v>1.0</v>
      </c>
      <c r="AI27" s="3" t="s">
        <v>472</v>
      </c>
      <c r="AJ27" s="5" t="s">
        <v>99</v>
      </c>
      <c r="AK27" s="5">
        <v>1.0</v>
      </c>
      <c r="AL27" s="3" t="s">
        <v>473</v>
      </c>
      <c r="AM27" s="5" t="s">
        <v>101</v>
      </c>
      <c r="AN27" s="5">
        <v>1.0</v>
      </c>
      <c r="AO27" s="3" t="s">
        <v>97</v>
      </c>
      <c r="AP27" s="3">
        <v>1.0</v>
      </c>
      <c r="AQ27" s="3" t="s">
        <v>474</v>
      </c>
      <c r="AR27" s="5" t="s">
        <v>103</v>
      </c>
      <c r="AS27" s="3">
        <v>1.0</v>
      </c>
      <c r="AT27" s="3" t="s">
        <v>94</v>
      </c>
      <c r="AU27" s="5" t="s">
        <v>104</v>
      </c>
      <c r="AV27" s="5">
        <v>1.0</v>
      </c>
      <c r="AW27" s="3" t="s">
        <v>475</v>
      </c>
      <c r="AX27" s="5" t="s">
        <v>106</v>
      </c>
      <c r="AY27" s="5">
        <v>0.25</v>
      </c>
      <c r="AZ27" s="3" t="s">
        <v>476</v>
      </c>
      <c r="BA27" s="5" t="s">
        <v>108</v>
      </c>
      <c r="BB27" s="5">
        <v>0.75</v>
      </c>
      <c r="BC27" s="3" t="s">
        <v>109</v>
      </c>
      <c r="BD27" s="5" t="s">
        <v>110</v>
      </c>
      <c r="BE27" s="3">
        <v>1.0</v>
      </c>
      <c r="BF27" s="3" t="s">
        <v>477</v>
      </c>
      <c r="BG27" s="5" t="s">
        <v>112</v>
      </c>
      <c r="BH27" s="5">
        <v>0.0</v>
      </c>
      <c r="BI27" s="3" t="s">
        <v>478</v>
      </c>
      <c r="BJ27" s="5" t="s">
        <v>114</v>
      </c>
      <c r="BK27" s="5">
        <v>1.0</v>
      </c>
      <c r="BL27" s="3" t="s">
        <v>115</v>
      </c>
      <c r="BM27" s="5" t="s">
        <v>116</v>
      </c>
      <c r="BN27" s="5">
        <v>1.0</v>
      </c>
      <c r="BO27" s="3" t="s">
        <v>211</v>
      </c>
      <c r="BP27" s="3"/>
      <c r="BQ27" s="3">
        <v>1.0</v>
      </c>
      <c r="BR27" s="3" t="s">
        <v>181</v>
      </c>
      <c r="BS27" s="5" t="s">
        <v>119</v>
      </c>
      <c r="BT27" s="5">
        <v>1.0</v>
      </c>
      <c r="BU27" s="3" t="s">
        <v>479</v>
      </c>
      <c r="BV27" s="5" t="s">
        <v>121</v>
      </c>
      <c r="BW27" s="5">
        <v>0.75</v>
      </c>
      <c r="BX27" s="3" t="s">
        <v>480</v>
      </c>
      <c r="BY27" s="5" t="s">
        <v>123</v>
      </c>
      <c r="BZ27" s="5">
        <v>1.0</v>
      </c>
      <c r="CA27" s="3" t="s">
        <v>97</v>
      </c>
      <c r="CB27" s="3" t="s">
        <v>481</v>
      </c>
      <c r="CC27" s="3" t="s">
        <v>97</v>
      </c>
      <c r="CD27" s="3" t="s">
        <v>165</v>
      </c>
      <c r="CE27" s="3" t="s">
        <v>482</v>
      </c>
      <c r="CF27" s="3" t="s">
        <v>97</v>
      </c>
      <c r="CG27" s="3" t="s">
        <v>483</v>
      </c>
      <c r="CH27" s="3">
        <v>6.0</v>
      </c>
    </row>
    <row r="28" ht="14.25" customHeight="1">
      <c r="A28" s="3">
        <v>44725.3203815046</v>
      </c>
      <c r="B28" s="3" t="s">
        <v>86</v>
      </c>
      <c r="C28" s="3">
        <f t="shared" si="1"/>
        <v>1</v>
      </c>
      <c r="D28" s="3" t="s">
        <v>128</v>
      </c>
      <c r="E28" s="3" t="s">
        <v>129</v>
      </c>
      <c r="F28" s="3">
        <f t="shared" si="2"/>
        <v>3</v>
      </c>
      <c r="G28" s="3" t="s">
        <v>130</v>
      </c>
      <c r="H28" s="3" t="s">
        <v>131</v>
      </c>
      <c r="I28" s="3">
        <v>1.0</v>
      </c>
      <c r="J28" s="3" t="s">
        <v>132</v>
      </c>
      <c r="K28" s="3">
        <f t="shared" si="3"/>
        <v>0</v>
      </c>
      <c r="L28" s="3" t="s">
        <v>133</v>
      </c>
      <c r="M28" s="3">
        <f t="shared" si="4"/>
        <v>0</v>
      </c>
      <c r="N28" s="4"/>
      <c r="O28" s="3" t="s">
        <v>93</v>
      </c>
      <c r="P28" s="3" t="s">
        <v>25</v>
      </c>
      <c r="Q28" s="3">
        <v>0.0</v>
      </c>
      <c r="R28" s="3">
        <v>0.0</v>
      </c>
      <c r="S28" s="3">
        <v>0.0</v>
      </c>
      <c r="T28" s="3">
        <v>0.0</v>
      </c>
      <c r="U28" s="3">
        <v>0.0</v>
      </c>
      <c r="V28" s="3">
        <v>0.0</v>
      </c>
      <c r="W28" s="3">
        <v>0.0</v>
      </c>
      <c r="X28" s="3">
        <v>0.0</v>
      </c>
      <c r="Y28" s="3">
        <v>0.0</v>
      </c>
      <c r="Z28" s="3">
        <v>1.0</v>
      </c>
      <c r="AA28" s="3">
        <v>0.0</v>
      </c>
      <c r="AB28" s="3">
        <v>0.0</v>
      </c>
      <c r="AC28" s="3">
        <v>0.0</v>
      </c>
      <c r="AD28" s="3" t="s">
        <v>484</v>
      </c>
      <c r="AE28" s="5" t="s">
        <v>96</v>
      </c>
      <c r="AF28" s="5">
        <v>0.25</v>
      </c>
      <c r="AG28" s="3" t="s">
        <v>97</v>
      </c>
      <c r="AH28" s="3">
        <v>1.0</v>
      </c>
      <c r="AI28" s="3" t="s">
        <v>485</v>
      </c>
      <c r="AJ28" s="5" t="s">
        <v>99</v>
      </c>
      <c r="AK28" s="5">
        <v>1.0</v>
      </c>
      <c r="AL28" s="3" t="s">
        <v>486</v>
      </c>
      <c r="AM28" s="5" t="s">
        <v>101</v>
      </c>
      <c r="AN28" s="5">
        <v>0.5</v>
      </c>
      <c r="AO28" s="3" t="s">
        <v>97</v>
      </c>
      <c r="AP28" s="3">
        <v>1.0</v>
      </c>
      <c r="AQ28" s="3" t="s">
        <v>487</v>
      </c>
      <c r="AR28" s="5" t="s">
        <v>103</v>
      </c>
      <c r="AS28" s="3">
        <v>1.0</v>
      </c>
      <c r="AT28" s="3" t="s">
        <v>94</v>
      </c>
      <c r="AU28" s="5" t="s">
        <v>104</v>
      </c>
      <c r="AV28" s="5">
        <v>1.0</v>
      </c>
      <c r="AW28" s="3" t="s">
        <v>488</v>
      </c>
      <c r="AX28" s="5" t="s">
        <v>106</v>
      </c>
      <c r="AY28" s="5">
        <v>0.25</v>
      </c>
      <c r="AZ28" s="3" t="s">
        <v>489</v>
      </c>
      <c r="BA28" s="5" t="s">
        <v>108</v>
      </c>
      <c r="BB28" s="5">
        <v>0.5</v>
      </c>
      <c r="BC28" s="3" t="s">
        <v>109</v>
      </c>
      <c r="BD28" s="5" t="s">
        <v>110</v>
      </c>
      <c r="BE28" s="3">
        <v>1.0</v>
      </c>
      <c r="BF28" s="3" t="s">
        <v>490</v>
      </c>
      <c r="BG28" s="5" t="s">
        <v>112</v>
      </c>
      <c r="BH28" s="5">
        <v>0.5</v>
      </c>
      <c r="BI28" s="3" t="s">
        <v>491</v>
      </c>
      <c r="BJ28" s="5" t="s">
        <v>114</v>
      </c>
      <c r="BK28" s="5">
        <v>1.0</v>
      </c>
      <c r="BL28" s="3" t="s">
        <v>115</v>
      </c>
      <c r="BM28" s="5" t="s">
        <v>116</v>
      </c>
      <c r="BN28" s="5">
        <v>1.0</v>
      </c>
      <c r="BO28" s="3" t="s">
        <v>160</v>
      </c>
      <c r="BP28" s="3"/>
      <c r="BQ28" s="3">
        <v>0.0</v>
      </c>
      <c r="BR28" s="3" t="s">
        <v>492</v>
      </c>
      <c r="BS28" s="5" t="s">
        <v>119</v>
      </c>
      <c r="BT28" s="5">
        <v>0.5</v>
      </c>
      <c r="BU28" s="3" t="s">
        <v>493</v>
      </c>
      <c r="BV28" s="5" t="s">
        <v>121</v>
      </c>
      <c r="BW28" s="5">
        <v>0.25</v>
      </c>
      <c r="BX28" s="3" t="s">
        <v>494</v>
      </c>
      <c r="BY28" s="5" t="s">
        <v>123</v>
      </c>
      <c r="BZ28" s="5">
        <v>0.5</v>
      </c>
      <c r="CA28" s="3" t="s">
        <v>97</v>
      </c>
      <c r="CB28" s="3" t="s">
        <v>495</v>
      </c>
      <c r="CC28" s="3" t="s">
        <v>97</v>
      </c>
      <c r="CD28" s="3" t="s">
        <v>165</v>
      </c>
      <c r="CE28" s="3" t="s">
        <v>496</v>
      </c>
      <c r="CF28" s="3" t="s">
        <v>97</v>
      </c>
      <c r="CG28" s="3" t="s">
        <v>497</v>
      </c>
      <c r="CH28" s="3">
        <v>5.0</v>
      </c>
    </row>
    <row r="29" ht="14.25" customHeight="1">
      <c r="A29" s="3">
        <v>44725.3243366204</v>
      </c>
      <c r="B29" s="3" t="s">
        <v>149</v>
      </c>
      <c r="C29" s="3">
        <f t="shared" si="1"/>
        <v>0</v>
      </c>
      <c r="D29" s="3" t="s">
        <v>128</v>
      </c>
      <c r="E29" s="3" t="s">
        <v>129</v>
      </c>
      <c r="F29" s="3">
        <f t="shared" si="2"/>
        <v>3</v>
      </c>
      <c r="G29" s="3" t="s">
        <v>150</v>
      </c>
      <c r="H29" s="3" t="s">
        <v>498</v>
      </c>
      <c r="I29" s="3">
        <v>1.0</v>
      </c>
      <c r="J29" s="3" t="s">
        <v>91</v>
      </c>
      <c r="K29" s="3">
        <f t="shared" si="3"/>
        <v>1</v>
      </c>
      <c r="L29" s="3" t="s">
        <v>133</v>
      </c>
      <c r="M29" s="3">
        <f t="shared" si="4"/>
        <v>0</v>
      </c>
      <c r="N29" s="4"/>
      <c r="O29" s="3" t="s">
        <v>93</v>
      </c>
      <c r="P29" s="3" t="s">
        <v>302</v>
      </c>
      <c r="Q29" s="3">
        <v>0.0</v>
      </c>
      <c r="R29" s="3">
        <v>1.0</v>
      </c>
      <c r="S29" s="3">
        <v>0.0</v>
      </c>
      <c r="T29" s="3">
        <v>0.0</v>
      </c>
      <c r="U29" s="3">
        <v>0.0</v>
      </c>
      <c r="V29" s="3">
        <v>0.0</v>
      </c>
      <c r="W29" s="3">
        <v>0.0</v>
      </c>
      <c r="X29" s="3">
        <v>0.0</v>
      </c>
      <c r="Y29" s="3">
        <v>0.0</v>
      </c>
      <c r="Z29" s="3">
        <v>1.0</v>
      </c>
      <c r="AA29" s="3">
        <v>0.0</v>
      </c>
      <c r="AB29" s="3">
        <v>0.0</v>
      </c>
      <c r="AC29" s="3">
        <v>0.0</v>
      </c>
      <c r="AD29" s="3" t="s">
        <v>499</v>
      </c>
      <c r="AE29" s="5" t="s">
        <v>96</v>
      </c>
      <c r="AF29" s="5">
        <v>0.5</v>
      </c>
      <c r="AG29" s="3" t="s">
        <v>97</v>
      </c>
      <c r="AH29" s="3">
        <v>1.0</v>
      </c>
      <c r="AI29" s="3" t="s">
        <v>500</v>
      </c>
      <c r="AJ29" s="5" t="s">
        <v>99</v>
      </c>
      <c r="AK29" s="5">
        <v>1.0</v>
      </c>
      <c r="AL29" s="3" t="s">
        <v>501</v>
      </c>
      <c r="AM29" s="5" t="s">
        <v>101</v>
      </c>
      <c r="AN29" s="5">
        <v>0.25</v>
      </c>
      <c r="AO29" s="3" t="s">
        <v>167</v>
      </c>
      <c r="AP29" s="3">
        <v>0.0</v>
      </c>
      <c r="AQ29" s="3" t="s">
        <v>502</v>
      </c>
      <c r="AR29" s="5" t="s">
        <v>103</v>
      </c>
      <c r="AS29" s="3">
        <v>1.0</v>
      </c>
      <c r="AT29" s="3" t="s">
        <v>94</v>
      </c>
      <c r="AU29" s="5" t="s">
        <v>104</v>
      </c>
      <c r="AV29" s="5">
        <v>1.0</v>
      </c>
      <c r="AW29" s="3" t="s">
        <v>503</v>
      </c>
      <c r="AX29" s="5" t="s">
        <v>106</v>
      </c>
      <c r="AY29" s="5">
        <v>0.25</v>
      </c>
      <c r="AZ29" s="3" t="s">
        <v>504</v>
      </c>
      <c r="BA29" s="5" t="s">
        <v>108</v>
      </c>
      <c r="BB29" s="5">
        <v>0.25</v>
      </c>
      <c r="BC29" s="3" t="s">
        <v>109</v>
      </c>
      <c r="BD29" s="5" t="s">
        <v>110</v>
      </c>
      <c r="BE29" s="3">
        <v>1.0</v>
      </c>
      <c r="BF29" s="3" t="s">
        <v>505</v>
      </c>
      <c r="BG29" s="5" t="s">
        <v>112</v>
      </c>
      <c r="BH29" s="5">
        <v>0.0</v>
      </c>
      <c r="BI29" s="3" t="s">
        <v>506</v>
      </c>
      <c r="BJ29" s="5" t="s">
        <v>114</v>
      </c>
      <c r="BK29" s="5">
        <v>1.0</v>
      </c>
      <c r="BL29" s="3" t="s">
        <v>465</v>
      </c>
      <c r="BM29" s="5" t="s">
        <v>116</v>
      </c>
      <c r="BN29" s="5">
        <v>0.25</v>
      </c>
      <c r="BO29" s="3" t="s">
        <v>211</v>
      </c>
      <c r="BP29" s="3"/>
      <c r="BQ29" s="3">
        <v>1.0</v>
      </c>
      <c r="BR29" s="3" t="s">
        <v>227</v>
      </c>
      <c r="BS29" s="5" t="s">
        <v>119</v>
      </c>
      <c r="BT29" s="5">
        <v>0.5</v>
      </c>
      <c r="BU29" s="3" t="s">
        <v>507</v>
      </c>
      <c r="BV29" s="5" t="s">
        <v>121</v>
      </c>
      <c r="BW29" s="5">
        <v>0.5</v>
      </c>
      <c r="BX29" s="3" t="s">
        <v>508</v>
      </c>
      <c r="BY29" s="5" t="s">
        <v>123</v>
      </c>
      <c r="BZ29" s="5">
        <v>0.5</v>
      </c>
      <c r="CA29" s="3" t="s">
        <v>97</v>
      </c>
      <c r="CB29" s="3" t="s">
        <v>509</v>
      </c>
      <c r="CC29" s="3" t="s">
        <v>97</v>
      </c>
      <c r="CD29" s="3" t="s">
        <v>165</v>
      </c>
      <c r="CE29" s="3" t="s">
        <v>510</v>
      </c>
      <c r="CF29" s="3" t="s">
        <v>167</v>
      </c>
      <c r="CG29" s="3" t="s">
        <v>511</v>
      </c>
      <c r="CH29" s="3">
        <v>6.0</v>
      </c>
    </row>
    <row r="30" ht="14.25" customHeight="1">
      <c r="A30" s="3">
        <v>44725.3282651157</v>
      </c>
      <c r="B30" s="3" t="s">
        <v>86</v>
      </c>
      <c r="C30" s="3">
        <f t="shared" si="1"/>
        <v>1</v>
      </c>
      <c r="D30" s="3" t="s">
        <v>87</v>
      </c>
      <c r="E30" s="3" t="s">
        <v>88</v>
      </c>
      <c r="F30" s="3">
        <f t="shared" si="2"/>
        <v>1</v>
      </c>
      <c r="G30" s="3" t="s">
        <v>130</v>
      </c>
      <c r="H30" s="3" t="s">
        <v>151</v>
      </c>
      <c r="I30" s="3">
        <v>2.0</v>
      </c>
      <c r="J30" s="3" t="s">
        <v>91</v>
      </c>
      <c r="K30" s="3">
        <f t="shared" si="3"/>
        <v>1</v>
      </c>
      <c r="L30" s="3" t="s">
        <v>133</v>
      </c>
      <c r="M30" s="3">
        <f t="shared" si="4"/>
        <v>0</v>
      </c>
      <c r="N30" s="4"/>
      <c r="O30" s="3" t="s">
        <v>93</v>
      </c>
      <c r="P30" s="3" t="s">
        <v>25</v>
      </c>
      <c r="Q30" s="3">
        <v>0.0</v>
      </c>
      <c r="R30" s="3">
        <v>0.0</v>
      </c>
      <c r="S30" s="3">
        <v>0.0</v>
      </c>
      <c r="T30" s="3">
        <v>0.0</v>
      </c>
      <c r="U30" s="3">
        <v>0.0</v>
      </c>
      <c r="V30" s="3">
        <v>0.0</v>
      </c>
      <c r="W30" s="3">
        <v>0.0</v>
      </c>
      <c r="X30" s="3">
        <v>0.0</v>
      </c>
      <c r="Y30" s="3">
        <v>0.0</v>
      </c>
      <c r="Z30" s="3">
        <v>1.0</v>
      </c>
      <c r="AA30" s="3">
        <v>0.0</v>
      </c>
      <c r="AB30" s="3">
        <v>0.0</v>
      </c>
      <c r="AC30" s="3">
        <v>0.0</v>
      </c>
      <c r="AD30" s="3" t="s">
        <v>512</v>
      </c>
      <c r="AE30" s="5" t="s">
        <v>96</v>
      </c>
      <c r="AF30" s="5">
        <v>0.75</v>
      </c>
      <c r="AG30" s="3" t="s">
        <v>97</v>
      </c>
      <c r="AH30" s="3">
        <v>1.0</v>
      </c>
      <c r="AI30" s="3" t="s">
        <v>513</v>
      </c>
      <c r="AJ30" s="5" t="s">
        <v>99</v>
      </c>
      <c r="AK30" s="5">
        <v>0.0</v>
      </c>
      <c r="AL30" s="3" t="s">
        <v>514</v>
      </c>
      <c r="AM30" s="5" t="s">
        <v>101</v>
      </c>
      <c r="AN30" s="5">
        <v>0.5</v>
      </c>
      <c r="AO30" s="3" t="s">
        <v>97</v>
      </c>
      <c r="AP30" s="3">
        <v>1.0</v>
      </c>
      <c r="AQ30" s="3" t="s">
        <v>515</v>
      </c>
      <c r="AR30" s="5" t="s">
        <v>103</v>
      </c>
      <c r="AS30" s="3">
        <v>1.0</v>
      </c>
      <c r="AT30" s="3" t="s">
        <v>94</v>
      </c>
      <c r="AU30" s="5" t="s">
        <v>104</v>
      </c>
      <c r="AV30" s="5">
        <v>1.0</v>
      </c>
      <c r="AW30" s="3" t="s">
        <v>516</v>
      </c>
      <c r="AX30" s="5" t="s">
        <v>106</v>
      </c>
      <c r="AY30" s="5">
        <v>0.25</v>
      </c>
      <c r="AZ30" s="3" t="s">
        <v>517</v>
      </c>
      <c r="BA30" s="5" t="s">
        <v>108</v>
      </c>
      <c r="BB30" s="5">
        <v>0.0</v>
      </c>
      <c r="BC30" s="3" t="s">
        <v>109</v>
      </c>
      <c r="BD30" s="5" t="s">
        <v>110</v>
      </c>
      <c r="BE30" s="3">
        <v>1.0</v>
      </c>
      <c r="BF30" s="3" t="s">
        <v>518</v>
      </c>
      <c r="BG30" s="5" t="s">
        <v>112</v>
      </c>
      <c r="BH30" s="5">
        <v>0.0</v>
      </c>
      <c r="BI30" s="3" t="s">
        <v>519</v>
      </c>
      <c r="BJ30" s="5" t="s">
        <v>114</v>
      </c>
      <c r="BK30" s="5">
        <v>1.0</v>
      </c>
      <c r="BL30" s="3" t="s">
        <v>465</v>
      </c>
      <c r="BM30" s="5" t="s">
        <v>116</v>
      </c>
      <c r="BN30" s="5">
        <v>0.25</v>
      </c>
      <c r="BO30" s="3" t="s">
        <v>211</v>
      </c>
      <c r="BP30" s="3"/>
      <c r="BQ30" s="3">
        <v>1.0</v>
      </c>
      <c r="BR30" s="3" t="s">
        <v>363</v>
      </c>
      <c r="BS30" s="5" t="s">
        <v>119</v>
      </c>
      <c r="BT30" s="5">
        <v>1.0</v>
      </c>
      <c r="BU30" s="3" t="s">
        <v>520</v>
      </c>
      <c r="BV30" s="5" t="s">
        <v>121</v>
      </c>
      <c r="BW30" s="5">
        <v>0.5</v>
      </c>
      <c r="BX30" s="3" t="s">
        <v>521</v>
      </c>
      <c r="BY30" s="5" t="s">
        <v>123</v>
      </c>
      <c r="BZ30" s="5">
        <v>0.25</v>
      </c>
      <c r="CA30" s="3" t="s">
        <v>97</v>
      </c>
      <c r="CB30" s="3" t="s">
        <v>522</v>
      </c>
      <c r="CC30" s="3" t="s">
        <v>97</v>
      </c>
      <c r="CD30" s="3" t="s">
        <v>165</v>
      </c>
      <c r="CE30" s="3" t="s">
        <v>523</v>
      </c>
      <c r="CF30" s="3" t="s">
        <v>167</v>
      </c>
      <c r="CG30" s="3" t="s">
        <v>524</v>
      </c>
      <c r="CH30" s="3">
        <v>6.0</v>
      </c>
    </row>
    <row r="31" ht="14.25" customHeight="1">
      <c r="A31" s="3">
        <v>44725.3319159143</v>
      </c>
      <c r="B31" s="3" t="s">
        <v>86</v>
      </c>
      <c r="C31" s="3">
        <f t="shared" si="1"/>
        <v>1</v>
      </c>
      <c r="D31" s="3" t="s">
        <v>128</v>
      </c>
      <c r="E31" s="3" t="s">
        <v>129</v>
      </c>
      <c r="F31" s="3">
        <f t="shared" si="2"/>
        <v>3</v>
      </c>
      <c r="G31" s="3" t="s">
        <v>130</v>
      </c>
      <c r="H31" s="3" t="s">
        <v>342</v>
      </c>
      <c r="I31" s="3">
        <v>0.0</v>
      </c>
      <c r="J31" s="3" t="s">
        <v>132</v>
      </c>
      <c r="K31" s="3">
        <f t="shared" si="3"/>
        <v>0</v>
      </c>
      <c r="L31" s="3" t="s">
        <v>133</v>
      </c>
      <c r="M31" s="3">
        <f t="shared" si="4"/>
        <v>0</v>
      </c>
      <c r="N31" s="4"/>
      <c r="O31" s="3" t="s">
        <v>93</v>
      </c>
      <c r="P31" s="3" t="s">
        <v>525</v>
      </c>
      <c r="Q31" s="3">
        <v>1.0</v>
      </c>
      <c r="R31" s="3">
        <v>0.0</v>
      </c>
      <c r="S31" s="3">
        <v>0.0</v>
      </c>
      <c r="T31" s="3">
        <v>1.0</v>
      </c>
      <c r="U31" s="3">
        <v>1.0</v>
      </c>
      <c r="V31" s="3">
        <v>0.0</v>
      </c>
      <c r="W31" s="3">
        <v>0.0</v>
      </c>
      <c r="X31" s="3">
        <v>0.0</v>
      </c>
      <c r="Y31" s="3">
        <v>0.0</v>
      </c>
      <c r="Z31" s="3">
        <v>0.0</v>
      </c>
      <c r="AA31" s="3">
        <v>0.0</v>
      </c>
      <c r="AB31" s="3">
        <v>0.0</v>
      </c>
      <c r="AC31" s="3">
        <v>0.0</v>
      </c>
      <c r="AD31" s="3" t="s">
        <v>526</v>
      </c>
      <c r="AE31" s="5" t="s">
        <v>96</v>
      </c>
      <c r="AF31" s="5">
        <v>0.25</v>
      </c>
      <c r="AG31" s="3" t="s">
        <v>97</v>
      </c>
      <c r="AH31" s="3">
        <v>1.0</v>
      </c>
      <c r="AI31" s="3" t="s">
        <v>527</v>
      </c>
      <c r="AJ31" s="5" t="s">
        <v>99</v>
      </c>
      <c r="AK31" s="5">
        <v>1.0</v>
      </c>
      <c r="AL31" s="3" t="s">
        <v>528</v>
      </c>
      <c r="AM31" s="5" t="s">
        <v>101</v>
      </c>
      <c r="AN31" s="5">
        <v>1.0</v>
      </c>
      <c r="AO31" s="3" t="s">
        <v>167</v>
      </c>
      <c r="AP31" s="3">
        <v>0.0</v>
      </c>
      <c r="AQ31" s="3" t="s">
        <v>529</v>
      </c>
      <c r="AR31" s="5" t="s">
        <v>103</v>
      </c>
      <c r="AS31" s="3">
        <v>1.0</v>
      </c>
      <c r="AT31" s="3" t="s">
        <v>94</v>
      </c>
      <c r="AU31" s="5" t="s">
        <v>104</v>
      </c>
      <c r="AV31" s="5">
        <v>1.0</v>
      </c>
      <c r="AW31" s="3" t="s">
        <v>530</v>
      </c>
      <c r="AX31" s="5" t="s">
        <v>106</v>
      </c>
      <c r="AY31" s="5">
        <v>0.25</v>
      </c>
      <c r="AZ31" s="3" t="s">
        <v>266</v>
      </c>
      <c r="BA31" s="5" t="s">
        <v>108</v>
      </c>
      <c r="BB31" s="5">
        <v>0.5</v>
      </c>
      <c r="BC31" s="3" t="s">
        <v>109</v>
      </c>
      <c r="BD31" s="5" t="s">
        <v>110</v>
      </c>
      <c r="BE31" s="3">
        <v>1.0</v>
      </c>
      <c r="BF31" s="3" t="s">
        <v>531</v>
      </c>
      <c r="BG31" s="5" t="s">
        <v>112</v>
      </c>
      <c r="BH31" s="5">
        <v>0.0</v>
      </c>
      <c r="BI31" s="3" t="s">
        <v>532</v>
      </c>
      <c r="BJ31" s="5" t="s">
        <v>114</v>
      </c>
      <c r="BK31" s="5">
        <v>1.0</v>
      </c>
      <c r="BL31" s="3" t="s">
        <v>533</v>
      </c>
      <c r="BM31" s="5" t="s">
        <v>116</v>
      </c>
      <c r="BN31" s="5">
        <v>0.5</v>
      </c>
      <c r="BO31" s="3" t="s">
        <v>117</v>
      </c>
      <c r="BP31" s="3"/>
      <c r="BQ31" s="3">
        <v>1.0</v>
      </c>
      <c r="BR31" s="3" t="s">
        <v>227</v>
      </c>
      <c r="BS31" s="5" t="s">
        <v>119</v>
      </c>
      <c r="BT31" s="5">
        <v>0.5</v>
      </c>
      <c r="BU31" s="3" t="s">
        <v>534</v>
      </c>
      <c r="BV31" s="5" t="s">
        <v>121</v>
      </c>
      <c r="BW31" s="5">
        <v>0.0</v>
      </c>
      <c r="BX31" s="3" t="s">
        <v>535</v>
      </c>
      <c r="BY31" s="5" t="s">
        <v>123</v>
      </c>
      <c r="BZ31" s="5">
        <v>0.5</v>
      </c>
      <c r="CA31" s="3" t="s">
        <v>97</v>
      </c>
      <c r="CB31" s="3" t="s">
        <v>536</v>
      </c>
      <c r="CC31" s="3" t="s">
        <v>97</v>
      </c>
      <c r="CD31" s="3" t="s">
        <v>199</v>
      </c>
      <c r="CE31" s="3" t="s">
        <v>271</v>
      </c>
      <c r="CF31" s="3" t="s">
        <v>167</v>
      </c>
      <c r="CG31" s="3" t="s">
        <v>537</v>
      </c>
      <c r="CH31" s="3">
        <v>5.0</v>
      </c>
    </row>
    <row r="32" ht="14.25" customHeight="1">
      <c r="A32" s="3">
        <v>44725.3361536343</v>
      </c>
      <c r="B32" s="3" t="s">
        <v>149</v>
      </c>
      <c r="C32" s="3">
        <f t="shared" si="1"/>
        <v>0</v>
      </c>
      <c r="D32" s="3" t="s">
        <v>128</v>
      </c>
      <c r="E32" s="3" t="s">
        <v>129</v>
      </c>
      <c r="F32" s="3">
        <f t="shared" si="2"/>
        <v>3</v>
      </c>
      <c r="G32" s="3" t="s">
        <v>150</v>
      </c>
      <c r="H32" s="3" t="s">
        <v>171</v>
      </c>
      <c r="I32" s="3">
        <v>1.0</v>
      </c>
      <c r="J32" s="3" t="s">
        <v>91</v>
      </c>
      <c r="K32" s="3">
        <f t="shared" si="3"/>
        <v>1</v>
      </c>
      <c r="L32" s="3" t="s">
        <v>92</v>
      </c>
      <c r="M32" s="3">
        <f t="shared" si="4"/>
        <v>1</v>
      </c>
      <c r="N32" s="4"/>
      <c r="O32" s="3" t="s">
        <v>93</v>
      </c>
      <c r="P32" s="3" t="s">
        <v>16</v>
      </c>
      <c r="Q32" s="3">
        <v>1.0</v>
      </c>
      <c r="R32" s="3">
        <v>0.0</v>
      </c>
      <c r="S32" s="3">
        <v>0.0</v>
      </c>
      <c r="T32" s="3">
        <v>0.0</v>
      </c>
      <c r="U32" s="3">
        <v>0.0</v>
      </c>
      <c r="V32" s="3">
        <v>0.0</v>
      </c>
      <c r="W32" s="3">
        <v>0.0</v>
      </c>
      <c r="X32" s="3">
        <v>0.0</v>
      </c>
      <c r="Y32" s="3">
        <v>0.0</v>
      </c>
      <c r="Z32" s="3">
        <v>0.0</v>
      </c>
      <c r="AA32" s="3">
        <v>0.0</v>
      </c>
      <c r="AB32" s="3">
        <v>0.0</v>
      </c>
      <c r="AC32" s="3">
        <v>0.0</v>
      </c>
      <c r="AD32" s="3" t="s">
        <v>538</v>
      </c>
      <c r="AE32" s="5" t="s">
        <v>96</v>
      </c>
      <c r="AF32" s="5">
        <v>0.5</v>
      </c>
      <c r="AG32" s="3" t="s">
        <v>97</v>
      </c>
      <c r="AH32" s="3">
        <v>1.0</v>
      </c>
      <c r="AI32" s="3" t="s">
        <v>539</v>
      </c>
      <c r="AJ32" s="5" t="s">
        <v>99</v>
      </c>
      <c r="AK32" s="5">
        <v>1.0</v>
      </c>
      <c r="AL32" s="3" t="s">
        <v>540</v>
      </c>
      <c r="AM32" s="5" t="s">
        <v>101</v>
      </c>
      <c r="AN32" s="5">
        <v>1.0</v>
      </c>
      <c r="AO32" s="3" t="s">
        <v>97</v>
      </c>
      <c r="AP32" s="3">
        <v>1.0</v>
      </c>
      <c r="AQ32" s="3" t="s">
        <v>541</v>
      </c>
      <c r="AR32" s="5" t="s">
        <v>103</v>
      </c>
      <c r="AS32" s="3">
        <v>1.0</v>
      </c>
      <c r="AT32" s="3" t="s">
        <v>94</v>
      </c>
      <c r="AU32" s="5" t="s">
        <v>104</v>
      </c>
      <c r="AV32" s="5">
        <v>1.0</v>
      </c>
      <c r="AW32" s="3" t="s">
        <v>542</v>
      </c>
      <c r="AX32" s="5" t="s">
        <v>106</v>
      </c>
      <c r="AY32" s="5">
        <v>0.25</v>
      </c>
      <c r="AZ32" s="3" t="s">
        <v>543</v>
      </c>
      <c r="BA32" s="5" t="s">
        <v>108</v>
      </c>
      <c r="BB32" s="5">
        <v>0.25</v>
      </c>
      <c r="BC32" s="3" t="s">
        <v>109</v>
      </c>
      <c r="BD32" s="5" t="s">
        <v>110</v>
      </c>
      <c r="BE32" s="3">
        <v>1.0</v>
      </c>
      <c r="BF32" s="3" t="s">
        <v>544</v>
      </c>
      <c r="BG32" s="5" t="s">
        <v>112</v>
      </c>
      <c r="BH32" s="5">
        <v>0.0</v>
      </c>
      <c r="BI32" s="3" t="s">
        <v>545</v>
      </c>
      <c r="BJ32" s="5" t="s">
        <v>114</v>
      </c>
      <c r="BK32" s="5">
        <v>1.0</v>
      </c>
      <c r="BL32" s="3" t="s">
        <v>465</v>
      </c>
      <c r="BM32" s="5" t="s">
        <v>116</v>
      </c>
      <c r="BN32" s="5">
        <v>0.25</v>
      </c>
      <c r="BO32" s="3" t="s">
        <v>211</v>
      </c>
      <c r="BP32" s="3"/>
      <c r="BQ32" s="3">
        <v>1.0</v>
      </c>
      <c r="BR32" s="3" t="s">
        <v>181</v>
      </c>
      <c r="BS32" s="5" t="s">
        <v>119</v>
      </c>
      <c r="BT32" s="5">
        <v>1.0</v>
      </c>
      <c r="BU32" s="3" t="s">
        <v>546</v>
      </c>
      <c r="BV32" s="5" t="s">
        <v>121</v>
      </c>
      <c r="BW32" s="5">
        <v>0.0</v>
      </c>
      <c r="BX32" s="3" t="s">
        <v>547</v>
      </c>
      <c r="BY32" s="5" t="s">
        <v>123</v>
      </c>
      <c r="BZ32" s="5">
        <v>0.0</v>
      </c>
      <c r="CA32" s="3" t="s">
        <v>97</v>
      </c>
      <c r="CB32" s="3" t="s">
        <v>548</v>
      </c>
      <c r="CC32" s="3" t="s">
        <v>167</v>
      </c>
      <c r="CD32" s="3" t="s">
        <v>231</v>
      </c>
      <c r="CE32" s="3" t="s">
        <v>549</v>
      </c>
      <c r="CF32" s="3" t="s">
        <v>167</v>
      </c>
      <c r="CG32" s="3" t="s">
        <v>550</v>
      </c>
      <c r="CH32" s="3">
        <v>6.0</v>
      </c>
    </row>
    <row r="33" ht="14.25" customHeight="1">
      <c r="A33" s="3">
        <v>44725.3419734491</v>
      </c>
      <c r="B33" s="3" t="s">
        <v>86</v>
      </c>
      <c r="C33" s="3">
        <f t="shared" si="1"/>
        <v>1</v>
      </c>
      <c r="D33" s="3" t="s">
        <v>393</v>
      </c>
      <c r="E33" s="3" t="s">
        <v>394</v>
      </c>
      <c r="F33" s="3">
        <f t="shared" si="2"/>
        <v>0</v>
      </c>
      <c r="G33" s="3" t="s">
        <v>130</v>
      </c>
      <c r="H33" s="3" t="s">
        <v>151</v>
      </c>
      <c r="I33" s="3">
        <v>2.0</v>
      </c>
      <c r="J33" s="3" t="s">
        <v>91</v>
      </c>
      <c r="K33" s="3">
        <f t="shared" si="3"/>
        <v>1</v>
      </c>
      <c r="L33" s="3" t="s">
        <v>133</v>
      </c>
      <c r="M33" s="3">
        <f t="shared" si="4"/>
        <v>0</v>
      </c>
      <c r="N33" s="4"/>
      <c r="O33" s="3" t="s">
        <v>93</v>
      </c>
      <c r="P33" s="3" t="s">
        <v>16</v>
      </c>
      <c r="Q33" s="3">
        <v>1.0</v>
      </c>
      <c r="R33" s="3">
        <v>0.0</v>
      </c>
      <c r="S33" s="3">
        <v>0.0</v>
      </c>
      <c r="T33" s="3">
        <v>0.0</v>
      </c>
      <c r="U33" s="3">
        <v>0.0</v>
      </c>
      <c r="V33" s="3">
        <v>0.0</v>
      </c>
      <c r="W33" s="3">
        <v>0.0</v>
      </c>
      <c r="X33" s="3">
        <v>0.0</v>
      </c>
      <c r="Y33" s="3">
        <v>0.0</v>
      </c>
      <c r="Z33" s="3">
        <v>0.0</v>
      </c>
      <c r="AA33" s="3">
        <v>0.0</v>
      </c>
      <c r="AB33" s="3">
        <v>0.0</v>
      </c>
      <c r="AC33" s="3">
        <v>0.0</v>
      </c>
      <c r="AD33" s="3" t="s">
        <v>551</v>
      </c>
      <c r="AE33" s="5" t="s">
        <v>96</v>
      </c>
      <c r="AF33" s="5">
        <v>0.25</v>
      </c>
      <c r="AG33" s="3" t="s">
        <v>97</v>
      </c>
      <c r="AH33" s="3">
        <v>1.0</v>
      </c>
      <c r="AI33" s="3" t="s">
        <v>552</v>
      </c>
      <c r="AJ33" s="5" t="s">
        <v>99</v>
      </c>
      <c r="AK33" s="5">
        <v>1.0</v>
      </c>
      <c r="AL33" s="3" t="s">
        <v>553</v>
      </c>
      <c r="AM33" s="5" t="s">
        <v>101</v>
      </c>
      <c r="AN33" s="5">
        <v>0.5</v>
      </c>
      <c r="AO33" s="3" t="s">
        <v>97</v>
      </c>
      <c r="AP33" s="3">
        <v>1.0</v>
      </c>
      <c r="AQ33" s="3" t="s">
        <v>554</v>
      </c>
      <c r="AR33" s="5" t="s">
        <v>103</v>
      </c>
      <c r="AS33" s="3">
        <v>1.0</v>
      </c>
      <c r="AT33" s="3" t="s">
        <v>555</v>
      </c>
      <c r="AU33" s="5" t="s">
        <v>104</v>
      </c>
      <c r="AV33" s="5">
        <v>1.0</v>
      </c>
      <c r="AW33" s="3" t="s">
        <v>556</v>
      </c>
      <c r="AX33" s="5" t="s">
        <v>106</v>
      </c>
      <c r="AY33" s="5">
        <v>0.25</v>
      </c>
      <c r="AZ33" s="3" t="s">
        <v>557</v>
      </c>
      <c r="BA33" s="5" t="s">
        <v>108</v>
      </c>
      <c r="BB33" s="5">
        <v>0.5</v>
      </c>
      <c r="BC33" s="3" t="s">
        <v>109</v>
      </c>
      <c r="BD33" s="5" t="s">
        <v>110</v>
      </c>
      <c r="BE33" s="3">
        <v>1.0</v>
      </c>
      <c r="BF33" s="3" t="s">
        <v>558</v>
      </c>
      <c r="BG33" s="5" t="s">
        <v>112</v>
      </c>
      <c r="BH33" s="5">
        <v>0.0</v>
      </c>
      <c r="BI33" s="3" t="s">
        <v>559</v>
      </c>
      <c r="BJ33" s="5" t="s">
        <v>114</v>
      </c>
      <c r="BK33" s="5">
        <v>1.0</v>
      </c>
      <c r="BL33" s="3" t="s">
        <v>115</v>
      </c>
      <c r="BM33" s="5" t="s">
        <v>116</v>
      </c>
      <c r="BN33" s="5">
        <v>1.0</v>
      </c>
      <c r="BO33" s="3" t="s">
        <v>211</v>
      </c>
      <c r="BP33" s="3"/>
      <c r="BQ33" s="3">
        <v>1.0</v>
      </c>
      <c r="BR33" s="3" t="s">
        <v>227</v>
      </c>
      <c r="BS33" s="5" t="s">
        <v>119</v>
      </c>
      <c r="BT33" s="5">
        <v>0.5</v>
      </c>
      <c r="BU33" s="3" t="s">
        <v>560</v>
      </c>
      <c r="BV33" s="5" t="s">
        <v>121</v>
      </c>
      <c r="BW33" s="5">
        <v>0.5</v>
      </c>
      <c r="BX33" s="3" t="s">
        <v>561</v>
      </c>
      <c r="BY33" s="5" t="s">
        <v>123</v>
      </c>
      <c r="BZ33" s="5">
        <v>0.5</v>
      </c>
      <c r="CA33" s="3" t="s">
        <v>97</v>
      </c>
      <c r="CB33" s="3" t="s">
        <v>562</v>
      </c>
      <c r="CC33" s="3" t="s">
        <v>97</v>
      </c>
      <c r="CD33" s="3" t="s">
        <v>165</v>
      </c>
      <c r="CE33" s="3" t="s">
        <v>184</v>
      </c>
      <c r="CF33" s="3" t="s">
        <v>167</v>
      </c>
      <c r="CG33" s="3" t="s">
        <v>563</v>
      </c>
      <c r="CH33" s="3">
        <v>6.0</v>
      </c>
    </row>
    <row r="34" ht="14.25" customHeight="1">
      <c r="A34" s="3">
        <v>44725.3456352431</v>
      </c>
      <c r="B34" s="3" t="s">
        <v>149</v>
      </c>
      <c r="C34" s="3">
        <f t="shared" si="1"/>
        <v>0</v>
      </c>
      <c r="D34" s="3" t="s">
        <v>169</v>
      </c>
      <c r="E34" s="3" t="s">
        <v>170</v>
      </c>
      <c r="F34" s="3">
        <f t="shared" si="2"/>
        <v>2</v>
      </c>
      <c r="G34" s="3" t="s">
        <v>150</v>
      </c>
      <c r="H34" s="3" t="s">
        <v>564</v>
      </c>
      <c r="I34" s="3">
        <v>2.0</v>
      </c>
      <c r="J34" s="3" t="s">
        <v>91</v>
      </c>
      <c r="K34" s="3">
        <f t="shared" si="3"/>
        <v>1</v>
      </c>
      <c r="L34" s="3" t="s">
        <v>92</v>
      </c>
      <c r="M34" s="3">
        <f t="shared" si="4"/>
        <v>1</v>
      </c>
      <c r="N34" s="4"/>
      <c r="O34" s="3" t="s">
        <v>93</v>
      </c>
      <c r="P34" s="3" t="s">
        <v>94</v>
      </c>
      <c r="Q34" s="3">
        <v>0.0</v>
      </c>
      <c r="R34" s="3">
        <v>0.0</v>
      </c>
      <c r="S34" s="3">
        <v>0.0</v>
      </c>
      <c r="T34" s="3">
        <v>0.0</v>
      </c>
      <c r="U34" s="3">
        <v>0.0</v>
      </c>
      <c r="V34" s="3">
        <v>0.0</v>
      </c>
      <c r="W34" s="3">
        <v>0.0</v>
      </c>
      <c r="X34" s="3">
        <v>0.0</v>
      </c>
      <c r="Y34" s="3">
        <v>0.0</v>
      </c>
      <c r="Z34" s="3">
        <v>0.0</v>
      </c>
      <c r="AA34" s="3">
        <v>1.0</v>
      </c>
      <c r="AB34" s="3">
        <v>0.0</v>
      </c>
      <c r="AC34" s="3">
        <v>0.0</v>
      </c>
      <c r="AD34" s="3" t="s">
        <v>565</v>
      </c>
      <c r="AE34" s="5" t="s">
        <v>96</v>
      </c>
      <c r="AF34" s="5">
        <v>0.25</v>
      </c>
      <c r="AG34" s="3" t="s">
        <v>167</v>
      </c>
      <c r="AH34" s="3">
        <v>0.0</v>
      </c>
      <c r="AI34" s="3" t="s">
        <v>566</v>
      </c>
      <c r="AJ34" s="5" t="s">
        <v>99</v>
      </c>
      <c r="AK34" s="5">
        <v>1.0</v>
      </c>
      <c r="AL34" s="3" t="s">
        <v>567</v>
      </c>
      <c r="AM34" s="5" t="s">
        <v>101</v>
      </c>
      <c r="AN34" s="5">
        <v>0.25</v>
      </c>
      <c r="AO34" s="3" t="s">
        <v>97</v>
      </c>
      <c r="AP34" s="3">
        <v>1.0</v>
      </c>
      <c r="AQ34" s="3" t="s">
        <v>568</v>
      </c>
      <c r="AR34" s="5" t="s">
        <v>103</v>
      </c>
      <c r="AS34" s="3">
        <v>1.0</v>
      </c>
      <c r="AT34" s="3" t="s">
        <v>569</v>
      </c>
      <c r="AU34" s="5" t="s">
        <v>104</v>
      </c>
      <c r="AV34" s="5">
        <v>0.25</v>
      </c>
      <c r="AW34" s="3" t="s">
        <v>570</v>
      </c>
      <c r="AX34" s="5" t="s">
        <v>106</v>
      </c>
      <c r="AY34" s="5">
        <v>0.25</v>
      </c>
      <c r="AZ34" s="3" t="s">
        <v>571</v>
      </c>
      <c r="BA34" s="5" t="s">
        <v>108</v>
      </c>
      <c r="BB34" s="5">
        <v>1.0</v>
      </c>
      <c r="BC34" s="3" t="s">
        <v>109</v>
      </c>
      <c r="BD34" s="5" t="s">
        <v>110</v>
      </c>
      <c r="BE34" s="3">
        <v>1.0</v>
      </c>
      <c r="BF34" s="3" t="s">
        <v>572</v>
      </c>
      <c r="BG34" s="5" t="s">
        <v>112</v>
      </c>
      <c r="BH34" s="5">
        <v>0.0</v>
      </c>
      <c r="BI34" s="3" t="s">
        <v>573</v>
      </c>
      <c r="BJ34" s="5" t="s">
        <v>114</v>
      </c>
      <c r="BK34" s="5">
        <v>1.0</v>
      </c>
      <c r="BL34" s="3" t="s">
        <v>574</v>
      </c>
      <c r="BM34" s="5" t="s">
        <v>116</v>
      </c>
      <c r="BN34" s="5">
        <v>0.75</v>
      </c>
      <c r="BO34" s="3" t="s">
        <v>117</v>
      </c>
      <c r="BP34" s="3"/>
      <c r="BQ34" s="3">
        <v>1.0</v>
      </c>
      <c r="BR34" s="3" t="s">
        <v>181</v>
      </c>
      <c r="BS34" s="5" t="s">
        <v>119</v>
      </c>
      <c r="BT34" s="5">
        <v>1.0</v>
      </c>
      <c r="BU34" s="3" t="s">
        <v>575</v>
      </c>
      <c r="BV34" s="5" t="s">
        <v>121</v>
      </c>
      <c r="BW34" s="5">
        <v>0.5</v>
      </c>
      <c r="BX34" s="3" t="s">
        <v>576</v>
      </c>
      <c r="BY34" s="5" t="s">
        <v>123</v>
      </c>
      <c r="BZ34" s="5">
        <v>0.5</v>
      </c>
      <c r="CA34" s="3" t="s">
        <v>97</v>
      </c>
      <c r="CB34" s="3" t="s">
        <v>577</v>
      </c>
      <c r="CC34" s="3" t="s">
        <v>97</v>
      </c>
      <c r="CD34" s="3" t="s">
        <v>125</v>
      </c>
      <c r="CE34" s="3" t="s">
        <v>578</v>
      </c>
      <c r="CF34" s="3" t="s">
        <v>97</v>
      </c>
      <c r="CG34" s="3" t="s">
        <v>579</v>
      </c>
      <c r="CH34" s="3">
        <v>5.0</v>
      </c>
    </row>
    <row r="35" ht="14.25" customHeight="1">
      <c r="A35" s="3">
        <v>44725.3487319444</v>
      </c>
      <c r="B35" s="3" t="s">
        <v>149</v>
      </c>
      <c r="C35" s="3">
        <f t="shared" si="1"/>
        <v>0</v>
      </c>
      <c r="D35" s="3" t="s">
        <v>128</v>
      </c>
      <c r="E35" s="3" t="s">
        <v>129</v>
      </c>
      <c r="F35" s="3">
        <f t="shared" si="2"/>
        <v>3</v>
      </c>
      <c r="G35" s="3" t="s">
        <v>150</v>
      </c>
      <c r="H35" s="3" t="s">
        <v>448</v>
      </c>
      <c r="I35" s="3">
        <v>1.0</v>
      </c>
      <c r="J35" s="3" t="s">
        <v>91</v>
      </c>
      <c r="K35" s="3">
        <f t="shared" si="3"/>
        <v>1</v>
      </c>
      <c r="L35" s="3" t="s">
        <v>133</v>
      </c>
      <c r="M35" s="3">
        <f t="shared" si="4"/>
        <v>0</v>
      </c>
      <c r="N35" s="4"/>
      <c r="O35" s="3" t="s">
        <v>93</v>
      </c>
      <c r="P35" s="3" t="s">
        <v>580</v>
      </c>
      <c r="Q35" s="3">
        <v>0.0</v>
      </c>
      <c r="R35" s="3">
        <v>0.0</v>
      </c>
      <c r="S35" s="3">
        <v>1.0</v>
      </c>
      <c r="T35" s="3">
        <v>0.0</v>
      </c>
      <c r="U35" s="3">
        <v>0.0</v>
      </c>
      <c r="V35" s="3">
        <v>0.0</v>
      </c>
      <c r="W35" s="3">
        <v>1.0</v>
      </c>
      <c r="X35" s="3">
        <v>0.0</v>
      </c>
      <c r="Y35" s="3">
        <v>0.0</v>
      </c>
      <c r="Z35" s="3">
        <v>1.0</v>
      </c>
      <c r="AA35" s="3">
        <v>0.0</v>
      </c>
      <c r="AB35" s="3">
        <v>0.0</v>
      </c>
      <c r="AC35" s="3">
        <v>0.0</v>
      </c>
      <c r="AD35" s="3" t="s">
        <v>581</v>
      </c>
      <c r="AE35" s="5" t="s">
        <v>96</v>
      </c>
      <c r="AF35" s="5">
        <v>0.25</v>
      </c>
      <c r="AG35" s="3" t="s">
        <v>97</v>
      </c>
      <c r="AH35" s="3">
        <v>1.0</v>
      </c>
      <c r="AI35" s="3" t="s">
        <v>582</v>
      </c>
      <c r="AJ35" s="5" t="s">
        <v>99</v>
      </c>
      <c r="AK35" s="5">
        <v>0.0</v>
      </c>
      <c r="AL35" s="3" t="s">
        <v>583</v>
      </c>
      <c r="AM35" s="5" t="s">
        <v>101</v>
      </c>
      <c r="AN35" s="5">
        <v>0.5</v>
      </c>
      <c r="AO35" s="3" t="s">
        <v>97</v>
      </c>
      <c r="AP35" s="3">
        <v>1.0</v>
      </c>
      <c r="AQ35" s="3" t="s">
        <v>584</v>
      </c>
      <c r="AR35" s="5" t="s">
        <v>103</v>
      </c>
      <c r="AS35" s="3">
        <v>1.0</v>
      </c>
      <c r="AT35" s="3" t="s">
        <v>94</v>
      </c>
      <c r="AU35" s="5" t="s">
        <v>104</v>
      </c>
      <c r="AV35" s="5">
        <v>1.0</v>
      </c>
      <c r="AW35" s="3" t="s">
        <v>585</v>
      </c>
      <c r="AX35" s="5" t="s">
        <v>106</v>
      </c>
      <c r="AY35" s="5">
        <v>0.25</v>
      </c>
      <c r="AZ35" s="3" t="s">
        <v>586</v>
      </c>
      <c r="BA35" s="5" t="s">
        <v>108</v>
      </c>
      <c r="BB35" s="5">
        <v>0.5</v>
      </c>
      <c r="BC35" s="3" t="s">
        <v>109</v>
      </c>
      <c r="BD35" s="5" t="s">
        <v>110</v>
      </c>
      <c r="BE35" s="3">
        <v>1.0</v>
      </c>
      <c r="BF35" s="3" t="s">
        <v>587</v>
      </c>
      <c r="BG35" s="5" t="s">
        <v>112</v>
      </c>
      <c r="BH35" s="5">
        <v>0.5</v>
      </c>
      <c r="BI35" s="3" t="s">
        <v>588</v>
      </c>
      <c r="BJ35" s="5" t="s">
        <v>114</v>
      </c>
      <c r="BK35" s="5">
        <v>0.75</v>
      </c>
      <c r="BL35" s="3" t="s">
        <v>589</v>
      </c>
      <c r="BM35" s="5" t="s">
        <v>116</v>
      </c>
      <c r="BN35" s="5">
        <v>0.75</v>
      </c>
      <c r="BO35" s="3" t="s">
        <v>160</v>
      </c>
      <c r="BP35" s="3"/>
      <c r="BQ35" s="3">
        <v>0.0</v>
      </c>
      <c r="BR35" s="3" t="s">
        <v>181</v>
      </c>
      <c r="BS35" s="5" t="s">
        <v>119</v>
      </c>
      <c r="BT35" s="5">
        <v>1.0</v>
      </c>
      <c r="BU35" s="3" t="s">
        <v>590</v>
      </c>
      <c r="BV35" s="5" t="s">
        <v>121</v>
      </c>
      <c r="BW35" s="5">
        <v>0.5</v>
      </c>
      <c r="BX35" s="3" t="s">
        <v>535</v>
      </c>
      <c r="BY35" s="5" t="s">
        <v>123</v>
      </c>
      <c r="BZ35" s="5">
        <v>0.5</v>
      </c>
      <c r="CA35" s="3" t="s">
        <v>97</v>
      </c>
      <c r="CB35" s="3" t="s">
        <v>591</v>
      </c>
      <c r="CC35" s="3" t="s">
        <v>97</v>
      </c>
      <c r="CD35" s="3" t="s">
        <v>165</v>
      </c>
      <c r="CE35" s="3" t="s">
        <v>592</v>
      </c>
      <c r="CF35" s="3" t="s">
        <v>97</v>
      </c>
      <c r="CG35" s="3" t="s">
        <v>593</v>
      </c>
      <c r="CH35" s="3">
        <v>4.0</v>
      </c>
    </row>
    <row r="36" ht="14.25" customHeight="1">
      <c r="A36" s="3">
        <v>44726.198505706</v>
      </c>
      <c r="B36" s="3" t="s">
        <v>86</v>
      </c>
      <c r="C36" s="3">
        <f t="shared" si="1"/>
        <v>1</v>
      </c>
      <c r="D36" s="3" t="s">
        <v>169</v>
      </c>
      <c r="E36" s="3" t="s">
        <v>170</v>
      </c>
      <c r="F36" s="3">
        <f t="shared" si="2"/>
        <v>2</v>
      </c>
      <c r="G36" s="3" t="s">
        <v>130</v>
      </c>
      <c r="H36" s="3" t="s">
        <v>594</v>
      </c>
      <c r="I36" s="3">
        <v>2.0</v>
      </c>
      <c r="J36" s="3" t="s">
        <v>132</v>
      </c>
      <c r="K36" s="3">
        <f t="shared" si="3"/>
        <v>0</v>
      </c>
      <c r="L36" s="3" t="s">
        <v>133</v>
      </c>
      <c r="M36" s="3">
        <f t="shared" si="4"/>
        <v>0</v>
      </c>
      <c r="N36" s="4"/>
      <c r="O36" s="3" t="s">
        <v>93</v>
      </c>
      <c r="P36" s="3" t="s">
        <v>595</v>
      </c>
      <c r="Q36" s="3">
        <v>0.0</v>
      </c>
      <c r="R36" s="3">
        <v>1.0</v>
      </c>
      <c r="S36" s="3">
        <v>0.0</v>
      </c>
      <c r="T36" s="3">
        <v>0.0</v>
      </c>
      <c r="U36" s="3">
        <v>0.0</v>
      </c>
      <c r="V36" s="3">
        <v>0.0</v>
      </c>
      <c r="W36" s="3">
        <v>0.0</v>
      </c>
      <c r="X36" s="3">
        <v>1.0</v>
      </c>
      <c r="Y36" s="3">
        <v>0.0</v>
      </c>
      <c r="Z36" s="3">
        <v>0.0</v>
      </c>
      <c r="AA36" s="3">
        <v>0.0</v>
      </c>
      <c r="AB36" s="3">
        <v>0.0</v>
      </c>
      <c r="AC36" s="3">
        <v>0.0</v>
      </c>
      <c r="AD36" s="3" t="s">
        <v>596</v>
      </c>
      <c r="AE36" s="5" t="s">
        <v>96</v>
      </c>
      <c r="AF36" s="5">
        <v>0.25</v>
      </c>
      <c r="AG36" s="3" t="s">
        <v>97</v>
      </c>
      <c r="AH36" s="3">
        <v>1.0</v>
      </c>
      <c r="AI36" s="3" t="s">
        <v>597</v>
      </c>
      <c r="AJ36" s="5" t="s">
        <v>99</v>
      </c>
      <c r="AK36" s="5">
        <v>1.0</v>
      </c>
      <c r="AL36" s="3" t="s">
        <v>598</v>
      </c>
      <c r="AM36" s="5" t="s">
        <v>101</v>
      </c>
      <c r="AN36" s="5">
        <v>1.0</v>
      </c>
      <c r="AO36" s="3" t="s">
        <v>97</v>
      </c>
      <c r="AP36" s="3">
        <v>1.0</v>
      </c>
      <c r="AQ36" s="3" t="s">
        <v>599</v>
      </c>
      <c r="AR36" s="5" t="s">
        <v>103</v>
      </c>
      <c r="AS36" s="3">
        <v>1.0</v>
      </c>
      <c r="AT36" s="3" t="s">
        <v>94</v>
      </c>
      <c r="AU36" s="5" t="s">
        <v>104</v>
      </c>
      <c r="AV36" s="5">
        <v>1.0</v>
      </c>
      <c r="AW36" s="3" t="s">
        <v>600</v>
      </c>
      <c r="AX36" s="5" t="s">
        <v>106</v>
      </c>
      <c r="AY36" s="5">
        <v>0.5</v>
      </c>
      <c r="AZ36" s="3" t="s">
        <v>601</v>
      </c>
      <c r="BA36" s="5" t="s">
        <v>108</v>
      </c>
      <c r="BB36" s="5">
        <v>0.25</v>
      </c>
      <c r="BC36" s="3" t="s">
        <v>109</v>
      </c>
      <c r="BD36" s="5" t="s">
        <v>110</v>
      </c>
      <c r="BE36" s="3">
        <v>1.0</v>
      </c>
      <c r="BF36" s="3" t="s">
        <v>602</v>
      </c>
      <c r="BG36" s="5" t="s">
        <v>112</v>
      </c>
      <c r="BH36" s="5">
        <v>0.5</v>
      </c>
      <c r="BI36" s="3" t="s">
        <v>603</v>
      </c>
      <c r="BJ36" s="5" t="s">
        <v>114</v>
      </c>
      <c r="BK36" s="5">
        <v>1.0</v>
      </c>
      <c r="BL36" s="3" t="s">
        <v>115</v>
      </c>
      <c r="BM36" s="5" t="s">
        <v>116</v>
      </c>
      <c r="BN36" s="5">
        <v>1.0</v>
      </c>
      <c r="BO36" s="3" t="s">
        <v>160</v>
      </c>
      <c r="BP36" s="3"/>
      <c r="BQ36" s="3">
        <v>0.0</v>
      </c>
      <c r="BR36" s="3" t="s">
        <v>118</v>
      </c>
      <c r="BS36" s="5" t="s">
        <v>119</v>
      </c>
      <c r="BT36" s="5">
        <v>0.5</v>
      </c>
      <c r="BU36" s="3" t="s">
        <v>604</v>
      </c>
      <c r="BV36" s="5" t="s">
        <v>121</v>
      </c>
      <c r="BW36" s="5">
        <v>0.5</v>
      </c>
      <c r="BX36" s="3" t="s">
        <v>605</v>
      </c>
      <c r="BY36" s="5" t="s">
        <v>123</v>
      </c>
      <c r="BZ36" s="5">
        <v>0.75</v>
      </c>
      <c r="CA36" s="3" t="s">
        <v>97</v>
      </c>
      <c r="CB36" s="3" t="s">
        <v>606</v>
      </c>
      <c r="CC36" s="3" t="s">
        <v>97</v>
      </c>
      <c r="CD36" s="3" t="s">
        <v>165</v>
      </c>
      <c r="CE36" s="3" t="s">
        <v>607</v>
      </c>
      <c r="CF36" s="3" t="s">
        <v>97</v>
      </c>
      <c r="CG36" s="3" t="s">
        <v>608</v>
      </c>
      <c r="CH36" s="3">
        <v>5.0</v>
      </c>
    </row>
    <row r="37" ht="14.25" customHeight="1">
      <c r="A37" s="3">
        <v>44727.1715519907</v>
      </c>
      <c r="B37" s="3" t="s">
        <v>149</v>
      </c>
      <c r="C37" s="3">
        <f t="shared" si="1"/>
        <v>0</v>
      </c>
      <c r="D37" s="3" t="s">
        <v>169</v>
      </c>
      <c r="E37" s="3" t="s">
        <v>170</v>
      </c>
      <c r="F37" s="3">
        <f t="shared" si="2"/>
        <v>2</v>
      </c>
      <c r="G37" s="3" t="s">
        <v>150</v>
      </c>
      <c r="H37" s="3" t="s">
        <v>609</v>
      </c>
      <c r="I37" s="3">
        <v>2.0</v>
      </c>
      <c r="J37" s="3" t="s">
        <v>91</v>
      </c>
      <c r="K37" s="3">
        <f t="shared" si="3"/>
        <v>1</v>
      </c>
      <c r="L37" s="3" t="s">
        <v>133</v>
      </c>
      <c r="M37" s="3">
        <f t="shared" si="4"/>
        <v>0</v>
      </c>
      <c r="N37" s="4"/>
      <c r="O37" s="3" t="s">
        <v>93</v>
      </c>
      <c r="P37" s="3" t="s">
        <v>610</v>
      </c>
      <c r="Q37" s="3">
        <v>0.0</v>
      </c>
      <c r="R37" s="3">
        <v>0.0</v>
      </c>
      <c r="S37" s="3">
        <v>1.0</v>
      </c>
      <c r="T37" s="3">
        <v>0.0</v>
      </c>
      <c r="U37" s="3">
        <v>0.0</v>
      </c>
      <c r="V37" s="3">
        <v>0.0</v>
      </c>
      <c r="W37" s="3">
        <v>1.0</v>
      </c>
      <c r="X37" s="3">
        <v>0.0</v>
      </c>
      <c r="Y37" s="3">
        <v>0.0</v>
      </c>
      <c r="Z37" s="3">
        <v>0.0</v>
      </c>
      <c r="AA37" s="3">
        <v>0.0</v>
      </c>
      <c r="AB37" s="3">
        <v>1.0</v>
      </c>
      <c r="AC37" s="3">
        <v>0.0</v>
      </c>
      <c r="AD37" s="3" t="s">
        <v>611</v>
      </c>
      <c r="AE37" s="5" t="s">
        <v>96</v>
      </c>
      <c r="AF37" s="5">
        <v>0.5</v>
      </c>
      <c r="AG37" s="3" t="s">
        <v>167</v>
      </c>
      <c r="AH37" s="3">
        <v>0.0</v>
      </c>
      <c r="AI37" s="3" t="s">
        <v>612</v>
      </c>
      <c r="AJ37" s="5" t="s">
        <v>99</v>
      </c>
      <c r="AK37" s="5">
        <v>1.0</v>
      </c>
      <c r="AL37" s="3" t="s">
        <v>613</v>
      </c>
      <c r="AM37" s="5" t="s">
        <v>101</v>
      </c>
      <c r="AN37" s="5">
        <v>0.75</v>
      </c>
      <c r="AO37" s="3" t="s">
        <v>167</v>
      </c>
      <c r="AP37" s="3">
        <v>0.0</v>
      </c>
      <c r="AQ37" s="3" t="s">
        <v>614</v>
      </c>
      <c r="AR37" s="5" t="s">
        <v>103</v>
      </c>
      <c r="AS37" s="3">
        <v>1.0</v>
      </c>
      <c r="AT37" s="3" t="s">
        <v>94</v>
      </c>
      <c r="AU37" s="5" t="s">
        <v>104</v>
      </c>
      <c r="AV37" s="5">
        <v>1.0</v>
      </c>
      <c r="AW37" s="3" t="s">
        <v>615</v>
      </c>
      <c r="AX37" s="5" t="s">
        <v>106</v>
      </c>
      <c r="AY37" s="5">
        <v>0.5</v>
      </c>
      <c r="AZ37" s="3" t="s">
        <v>616</v>
      </c>
      <c r="BA37" s="5" t="s">
        <v>108</v>
      </c>
      <c r="BB37" s="5">
        <v>0.5</v>
      </c>
      <c r="BC37" s="3" t="s">
        <v>109</v>
      </c>
      <c r="BD37" s="5" t="s">
        <v>110</v>
      </c>
      <c r="BE37" s="3">
        <v>1.0</v>
      </c>
      <c r="BF37" s="3" t="s">
        <v>617</v>
      </c>
      <c r="BG37" s="5" t="s">
        <v>112</v>
      </c>
      <c r="BH37" s="5">
        <v>0.5</v>
      </c>
      <c r="BI37" s="3" t="s">
        <v>618</v>
      </c>
      <c r="BJ37" s="5" t="s">
        <v>114</v>
      </c>
      <c r="BK37" s="5">
        <v>1.0</v>
      </c>
      <c r="BL37" s="3" t="s">
        <v>115</v>
      </c>
      <c r="BM37" s="5" t="s">
        <v>116</v>
      </c>
      <c r="BN37" s="5">
        <v>1.0</v>
      </c>
      <c r="BO37" s="3" t="s">
        <v>117</v>
      </c>
      <c r="BP37" s="3"/>
      <c r="BQ37" s="3">
        <v>1.0</v>
      </c>
      <c r="BR37" s="3" t="s">
        <v>181</v>
      </c>
      <c r="BS37" s="5" t="s">
        <v>119</v>
      </c>
      <c r="BT37" s="5">
        <v>1.0</v>
      </c>
      <c r="BU37" s="3" t="s">
        <v>619</v>
      </c>
      <c r="BV37" s="5" t="s">
        <v>121</v>
      </c>
      <c r="BW37" s="5">
        <v>0.5</v>
      </c>
      <c r="BX37" s="3" t="s">
        <v>620</v>
      </c>
      <c r="BY37" s="5" t="s">
        <v>123</v>
      </c>
      <c r="BZ37" s="5">
        <v>0.5</v>
      </c>
      <c r="CA37" s="3" t="s">
        <v>97</v>
      </c>
      <c r="CB37" s="3" t="s">
        <v>621</v>
      </c>
      <c r="CC37" s="3" t="s">
        <v>97</v>
      </c>
      <c r="CD37" s="3" t="s">
        <v>165</v>
      </c>
      <c r="CE37" s="3" t="s">
        <v>622</v>
      </c>
      <c r="CF37" s="3" t="s">
        <v>167</v>
      </c>
      <c r="CG37" s="3" t="s">
        <v>623</v>
      </c>
      <c r="CH37" s="3">
        <v>4.0</v>
      </c>
    </row>
    <row r="38" ht="14.25" customHeight="1">
      <c r="A38" s="3">
        <v>44727.3308879861</v>
      </c>
      <c r="B38" s="3" t="s">
        <v>149</v>
      </c>
      <c r="C38" s="3">
        <f t="shared" si="1"/>
        <v>0</v>
      </c>
      <c r="D38" s="3" t="s">
        <v>169</v>
      </c>
      <c r="E38" s="3" t="s">
        <v>170</v>
      </c>
      <c r="F38" s="3">
        <f t="shared" si="2"/>
        <v>2</v>
      </c>
      <c r="G38" s="3" t="s">
        <v>150</v>
      </c>
      <c r="H38" s="3" t="s">
        <v>259</v>
      </c>
      <c r="I38" s="3">
        <v>1.0</v>
      </c>
      <c r="J38" s="3" t="s">
        <v>91</v>
      </c>
      <c r="K38" s="3">
        <f t="shared" si="3"/>
        <v>1</v>
      </c>
      <c r="L38" s="3" t="s">
        <v>133</v>
      </c>
      <c r="M38" s="3">
        <f t="shared" si="4"/>
        <v>0</v>
      </c>
      <c r="N38" s="4"/>
      <c r="O38" s="3" t="s">
        <v>93</v>
      </c>
      <c r="P38" s="3" t="s">
        <v>624</v>
      </c>
      <c r="Q38" s="3">
        <v>1.0</v>
      </c>
      <c r="R38" s="3">
        <v>0.0</v>
      </c>
      <c r="S38" s="3">
        <v>0.0</v>
      </c>
      <c r="T38" s="3">
        <v>1.0</v>
      </c>
      <c r="U38" s="3">
        <v>1.0</v>
      </c>
      <c r="V38" s="3">
        <v>0.0</v>
      </c>
      <c r="W38" s="3">
        <v>0.0</v>
      </c>
      <c r="X38" s="3">
        <v>0.0</v>
      </c>
      <c r="Y38" s="3">
        <v>0.0</v>
      </c>
      <c r="Z38" s="3">
        <v>0.0</v>
      </c>
      <c r="AA38" s="3">
        <v>0.0</v>
      </c>
      <c r="AB38" s="3">
        <v>1.0</v>
      </c>
      <c r="AC38" s="3">
        <v>0.0</v>
      </c>
      <c r="AD38" s="3" t="s">
        <v>625</v>
      </c>
      <c r="AE38" s="5" t="s">
        <v>96</v>
      </c>
      <c r="AF38" s="5">
        <v>0.5</v>
      </c>
      <c r="AG38" s="3" t="s">
        <v>97</v>
      </c>
      <c r="AH38" s="3">
        <v>1.0</v>
      </c>
      <c r="AI38" s="3" t="s">
        <v>626</v>
      </c>
      <c r="AJ38" s="5" t="s">
        <v>99</v>
      </c>
      <c r="AK38" s="5">
        <v>1.0</v>
      </c>
      <c r="AL38" s="3" t="s">
        <v>627</v>
      </c>
      <c r="AM38" s="5" t="s">
        <v>101</v>
      </c>
      <c r="AN38" s="5">
        <v>0.5</v>
      </c>
      <c r="AO38" s="3" t="s">
        <v>97</v>
      </c>
      <c r="AP38" s="3">
        <v>1.0</v>
      </c>
      <c r="AQ38" s="3" t="s">
        <v>628</v>
      </c>
      <c r="AR38" s="5" t="s">
        <v>103</v>
      </c>
      <c r="AS38" s="3">
        <v>1.0</v>
      </c>
      <c r="AT38" s="3" t="s">
        <v>94</v>
      </c>
      <c r="AU38" s="5" t="s">
        <v>104</v>
      </c>
      <c r="AV38" s="5">
        <v>1.0</v>
      </c>
      <c r="AW38" s="3" t="s">
        <v>629</v>
      </c>
      <c r="AX38" s="5" t="s">
        <v>106</v>
      </c>
      <c r="AY38" s="5">
        <v>0.25</v>
      </c>
      <c r="AZ38" s="3" t="s">
        <v>630</v>
      </c>
      <c r="BA38" s="5" t="s">
        <v>108</v>
      </c>
      <c r="BB38" s="5">
        <v>0.75</v>
      </c>
      <c r="BC38" s="3" t="s">
        <v>109</v>
      </c>
      <c r="BD38" s="5" t="s">
        <v>110</v>
      </c>
      <c r="BE38" s="3">
        <v>1.0</v>
      </c>
      <c r="BF38" s="3" t="s">
        <v>631</v>
      </c>
      <c r="BG38" s="5" t="s">
        <v>112</v>
      </c>
      <c r="BH38" s="5">
        <v>0.0</v>
      </c>
      <c r="BI38" s="3" t="s">
        <v>632</v>
      </c>
      <c r="BJ38" s="5" t="s">
        <v>114</v>
      </c>
      <c r="BK38" s="5">
        <v>1.0</v>
      </c>
      <c r="BL38" s="3" t="s">
        <v>115</v>
      </c>
      <c r="BM38" s="5" t="s">
        <v>116</v>
      </c>
      <c r="BN38" s="5">
        <v>1.0</v>
      </c>
      <c r="BO38" s="3" t="s">
        <v>117</v>
      </c>
      <c r="BP38" s="3"/>
      <c r="BQ38" s="3">
        <v>1.0</v>
      </c>
      <c r="BR38" s="3" t="s">
        <v>161</v>
      </c>
      <c r="BS38" s="5" t="s">
        <v>119</v>
      </c>
      <c r="BT38" s="5">
        <v>1.0</v>
      </c>
      <c r="BU38" s="3" t="s">
        <v>633</v>
      </c>
      <c r="BV38" s="5" t="s">
        <v>121</v>
      </c>
      <c r="BW38" s="5">
        <v>0.0</v>
      </c>
      <c r="BX38" s="3" t="s">
        <v>634</v>
      </c>
      <c r="BY38" s="5" t="s">
        <v>123</v>
      </c>
      <c r="BZ38" s="5">
        <v>0.5</v>
      </c>
      <c r="CA38" s="3" t="s">
        <v>97</v>
      </c>
      <c r="CB38" s="3" t="s">
        <v>635</v>
      </c>
      <c r="CC38" s="3" t="s">
        <v>97</v>
      </c>
      <c r="CD38" s="3" t="s">
        <v>125</v>
      </c>
      <c r="CE38" s="3" t="s">
        <v>636</v>
      </c>
      <c r="CF38" s="3" t="s">
        <v>167</v>
      </c>
      <c r="CG38" s="3" t="s">
        <v>637</v>
      </c>
      <c r="CH38" s="3">
        <v>6.0</v>
      </c>
    </row>
    <row r="39" ht="14.25" customHeight="1">
      <c r="A39" s="3">
        <v>44727.3421993403</v>
      </c>
      <c r="B39" s="3" t="s">
        <v>149</v>
      </c>
      <c r="C39" s="3">
        <f t="shared" si="1"/>
        <v>0</v>
      </c>
      <c r="D39" s="3" t="s">
        <v>393</v>
      </c>
      <c r="E39" s="3" t="s">
        <v>394</v>
      </c>
      <c r="F39" s="3">
        <f t="shared" si="2"/>
        <v>0</v>
      </c>
      <c r="G39" s="3" t="s">
        <v>150</v>
      </c>
      <c r="H39" s="3" t="s">
        <v>151</v>
      </c>
      <c r="I39" s="3">
        <v>2.0</v>
      </c>
      <c r="J39" s="3" t="s">
        <v>91</v>
      </c>
      <c r="K39" s="3">
        <f t="shared" si="3"/>
        <v>1</v>
      </c>
      <c r="L39" s="3" t="s">
        <v>133</v>
      </c>
      <c r="M39" s="3">
        <f t="shared" si="4"/>
        <v>0</v>
      </c>
      <c r="N39" s="4"/>
      <c r="O39" s="3" t="s">
        <v>93</v>
      </c>
      <c r="P39" s="3" t="s">
        <v>638</v>
      </c>
      <c r="Q39" s="3">
        <v>0.0</v>
      </c>
      <c r="R39" s="3">
        <v>0.0</v>
      </c>
      <c r="S39" s="3">
        <v>0.0</v>
      </c>
      <c r="T39" s="3">
        <v>0.0</v>
      </c>
      <c r="U39" s="3">
        <v>0.0</v>
      </c>
      <c r="V39" s="3">
        <v>1.0</v>
      </c>
      <c r="W39" s="3">
        <v>1.0</v>
      </c>
      <c r="X39" s="3">
        <v>0.0</v>
      </c>
      <c r="Y39" s="3">
        <v>0.0</v>
      </c>
      <c r="Z39" s="3">
        <v>0.0</v>
      </c>
      <c r="AA39" s="3">
        <v>0.0</v>
      </c>
      <c r="AB39" s="3">
        <v>0.0</v>
      </c>
      <c r="AC39" s="3">
        <v>0.0</v>
      </c>
      <c r="AD39" s="3" t="s">
        <v>639</v>
      </c>
      <c r="AE39" s="5" t="s">
        <v>96</v>
      </c>
      <c r="AF39" s="5">
        <v>0.25</v>
      </c>
      <c r="AG39" s="3" t="s">
        <v>167</v>
      </c>
      <c r="AH39" s="3">
        <v>0.0</v>
      </c>
      <c r="AI39" s="3" t="s">
        <v>640</v>
      </c>
      <c r="AJ39" s="5" t="s">
        <v>99</v>
      </c>
      <c r="AK39" s="5">
        <v>0.0</v>
      </c>
      <c r="AL39" s="3" t="s">
        <v>641</v>
      </c>
      <c r="AM39" s="5" t="s">
        <v>101</v>
      </c>
      <c r="AN39" s="5">
        <v>0.5</v>
      </c>
      <c r="AO39" s="3" t="s">
        <v>97</v>
      </c>
      <c r="AP39" s="3">
        <v>1.0</v>
      </c>
      <c r="AQ39" s="3" t="s">
        <v>642</v>
      </c>
      <c r="AR39" s="5" t="s">
        <v>103</v>
      </c>
      <c r="AS39" s="3">
        <v>1.0</v>
      </c>
      <c r="AT39" s="3" t="s">
        <v>643</v>
      </c>
      <c r="AU39" s="5" t="s">
        <v>104</v>
      </c>
      <c r="AV39" s="5">
        <v>0.5</v>
      </c>
      <c r="AW39" s="3" t="s">
        <v>644</v>
      </c>
      <c r="AX39" s="5" t="s">
        <v>106</v>
      </c>
      <c r="AY39" s="5">
        <v>0.25</v>
      </c>
      <c r="AZ39" s="3" t="s">
        <v>645</v>
      </c>
      <c r="BA39" s="5" t="s">
        <v>108</v>
      </c>
      <c r="BB39" s="5">
        <v>0.25</v>
      </c>
      <c r="BC39" s="3" t="s">
        <v>109</v>
      </c>
      <c r="BD39" s="5" t="s">
        <v>110</v>
      </c>
      <c r="BE39" s="3">
        <v>1.0</v>
      </c>
      <c r="BF39" s="3" t="s">
        <v>646</v>
      </c>
      <c r="BG39" s="5" t="s">
        <v>112</v>
      </c>
      <c r="BH39" s="5">
        <v>0.5</v>
      </c>
      <c r="BI39" s="3" t="s">
        <v>647</v>
      </c>
      <c r="BJ39" s="5" t="s">
        <v>114</v>
      </c>
      <c r="BK39" s="5">
        <v>1.0</v>
      </c>
      <c r="BL39" s="3" t="s">
        <v>115</v>
      </c>
      <c r="BM39" s="5" t="s">
        <v>116</v>
      </c>
      <c r="BN39" s="5">
        <v>1.0</v>
      </c>
      <c r="BO39" s="3" t="s">
        <v>117</v>
      </c>
      <c r="BP39" s="3"/>
      <c r="BQ39" s="3">
        <v>1.0</v>
      </c>
      <c r="BR39" s="3" t="s">
        <v>161</v>
      </c>
      <c r="BS39" s="5" t="s">
        <v>119</v>
      </c>
      <c r="BT39" s="5">
        <v>1.0</v>
      </c>
      <c r="BU39" s="3" t="s">
        <v>648</v>
      </c>
      <c r="BV39" s="5" t="s">
        <v>121</v>
      </c>
      <c r="BW39" s="5">
        <v>0.25</v>
      </c>
      <c r="BX39" s="3" t="s">
        <v>649</v>
      </c>
      <c r="BY39" s="5" t="s">
        <v>123</v>
      </c>
      <c r="BZ39" s="5">
        <v>0.5</v>
      </c>
      <c r="CA39" s="3" t="s">
        <v>97</v>
      </c>
      <c r="CB39" s="3" t="s">
        <v>650</v>
      </c>
      <c r="CC39" s="3" t="s">
        <v>97</v>
      </c>
      <c r="CD39" s="3" t="s">
        <v>165</v>
      </c>
      <c r="CE39" s="3" t="s">
        <v>651</v>
      </c>
      <c r="CF39" s="3" t="s">
        <v>167</v>
      </c>
      <c r="CG39" s="3" t="s">
        <v>652</v>
      </c>
      <c r="CH39" s="3">
        <v>5.0</v>
      </c>
    </row>
    <row r="40" ht="14.25" customHeight="1">
      <c r="A40" s="3">
        <v>44727.354565544</v>
      </c>
      <c r="B40" s="3" t="s">
        <v>149</v>
      </c>
      <c r="C40" s="3">
        <f t="shared" si="1"/>
        <v>0</v>
      </c>
      <c r="D40" s="3" t="s">
        <v>128</v>
      </c>
      <c r="E40" s="3" t="s">
        <v>129</v>
      </c>
      <c r="F40" s="3">
        <f t="shared" si="2"/>
        <v>3</v>
      </c>
      <c r="G40" s="3" t="s">
        <v>150</v>
      </c>
      <c r="H40" s="3" t="s">
        <v>131</v>
      </c>
      <c r="I40" s="3">
        <v>1.0</v>
      </c>
      <c r="J40" s="3" t="s">
        <v>91</v>
      </c>
      <c r="K40" s="3">
        <f t="shared" si="3"/>
        <v>1</v>
      </c>
      <c r="L40" s="3" t="s">
        <v>133</v>
      </c>
      <c r="M40" s="3">
        <f t="shared" si="4"/>
        <v>0</v>
      </c>
      <c r="N40" s="4"/>
      <c r="O40" s="3" t="s">
        <v>93</v>
      </c>
      <c r="P40" s="3" t="s">
        <v>380</v>
      </c>
      <c r="Q40" s="3">
        <v>1.0</v>
      </c>
      <c r="R40" s="3">
        <v>0.0</v>
      </c>
      <c r="S40" s="3">
        <v>0.0</v>
      </c>
      <c r="T40" s="3">
        <v>0.0</v>
      </c>
      <c r="U40" s="3">
        <v>0.0</v>
      </c>
      <c r="V40" s="3">
        <v>0.0</v>
      </c>
      <c r="W40" s="3">
        <v>0.0</v>
      </c>
      <c r="X40" s="3">
        <v>0.0</v>
      </c>
      <c r="Y40" s="3">
        <v>0.0</v>
      </c>
      <c r="Z40" s="3">
        <v>1.0</v>
      </c>
      <c r="AA40" s="3">
        <v>0.0</v>
      </c>
      <c r="AB40" s="3">
        <v>0.0</v>
      </c>
      <c r="AC40" s="3">
        <v>0.0</v>
      </c>
      <c r="AD40" s="3" t="s">
        <v>653</v>
      </c>
      <c r="AE40" s="5" t="s">
        <v>96</v>
      </c>
      <c r="AF40" s="5">
        <v>0.25</v>
      </c>
      <c r="AG40" s="3" t="s">
        <v>97</v>
      </c>
      <c r="AH40" s="3">
        <v>1.0</v>
      </c>
      <c r="AI40" s="3" t="s">
        <v>654</v>
      </c>
      <c r="AJ40" s="5" t="s">
        <v>99</v>
      </c>
      <c r="AK40" s="5">
        <v>1.0</v>
      </c>
      <c r="AL40" s="3" t="s">
        <v>655</v>
      </c>
      <c r="AM40" s="5" t="s">
        <v>101</v>
      </c>
      <c r="AN40" s="5">
        <v>0.25</v>
      </c>
      <c r="AO40" s="3" t="s">
        <v>167</v>
      </c>
      <c r="AP40" s="3">
        <v>0.0</v>
      </c>
      <c r="AQ40" s="3" t="s">
        <v>656</v>
      </c>
      <c r="AR40" s="5" t="s">
        <v>103</v>
      </c>
      <c r="AS40" s="3">
        <v>0.0</v>
      </c>
      <c r="AT40" s="3" t="s">
        <v>657</v>
      </c>
      <c r="AU40" s="5" t="s">
        <v>104</v>
      </c>
      <c r="AV40" s="5">
        <v>0.25</v>
      </c>
      <c r="AW40" s="3" t="s">
        <v>658</v>
      </c>
      <c r="AX40" s="5" t="s">
        <v>106</v>
      </c>
      <c r="AY40" s="5">
        <v>0.25</v>
      </c>
      <c r="AZ40" s="3" t="s">
        <v>659</v>
      </c>
      <c r="BA40" s="5" t="s">
        <v>108</v>
      </c>
      <c r="BB40" s="5">
        <v>0.25</v>
      </c>
      <c r="BC40" s="3" t="s">
        <v>109</v>
      </c>
      <c r="BD40" s="5" t="s">
        <v>110</v>
      </c>
      <c r="BE40" s="3">
        <v>1.0</v>
      </c>
      <c r="BF40" s="3" t="s">
        <v>660</v>
      </c>
      <c r="BG40" s="5" t="s">
        <v>112</v>
      </c>
      <c r="BH40" s="5">
        <v>0.0</v>
      </c>
      <c r="BI40" s="3" t="s">
        <v>661</v>
      </c>
      <c r="BJ40" s="5" t="s">
        <v>114</v>
      </c>
      <c r="BK40" s="5">
        <v>0.5</v>
      </c>
      <c r="BL40" s="3" t="s">
        <v>115</v>
      </c>
      <c r="BM40" s="5" t="s">
        <v>116</v>
      </c>
      <c r="BN40" s="5">
        <v>1.0</v>
      </c>
      <c r="BO40" s="3" t="s">
        <v>160</v>
      </c>
      <c r="BP40" s="3"/>
      <c r="BQ40" s="3">
        <v>0.0</v>
      </c>
      <c r="BR40" s="3" t="s">
        <v>118</v>
      </c>
      <c r="BS40" s="5" t="s">
        <v>119</v>
      </c>
      <c r="BT40" s="5">
        <v>0.5</v>
      </c>
      <c r="BU40" s="3" t="s">
        <v>662</v>
      </c>
      <c r="BV40" s="5" t="s">
        <v>121</v>
      </c>
      <c r="BW40" s="5">
        <v>0.0</v>
      </c>
      <c r="BX40" s="3" t="s">
        <v>663</v>
      </c>
      <c r="BY40" s="5" t="s">
        <v>123</v>
      </c>
      <c r="BZ40" s="5">
        <v>0.5</v>
      </c>
      <c r="CA40" s="3" t="s">
        <v>97</v>
      </c>
      <c r="CB40" s="3" t="s">
        <v>664</v>
      </c>
      <c r="CC40" s="3" t="s">
        <v>97</v>
      </c>
      <c r="CD40" s="3" t="s">
        <v>165</v>
      </c>
      <c r="CE40" s="3" t="s">
        <v>665</v>
      </c>
      <c r="CF40" s="3" t="s">
        <v>167</v>
      </c>
      <c r="CG40" s="3" t="s">
        <v>666</v>
      </c>
      <c r="CH40" s="3">
        <v>2.0</v>
      </c>
    </row>
    <row r="41" ht="14.25" customHeight="1">
      <c r="A41" s="3">
        <v>44727.364574919</v>
      </c>
      <c r="B41" s="3" t="s">
        <v>86</v>
      </c>
      <c r="C41" s="3">
        <f t="shared" si="1"/>
        <v>1</v>
      </c>
      <c r="D41" s="3" t="s">
        <v>169</v>
      </c>
      <c r="E41" s="3" t="s">
        <v>170</v>
      </c>
      <c r="F41" s="3">
        <f t="shared" si="2"/>
        <v>2</v>
      </c>
      <c r="G41" s="3" t="s">
        <v>130</v>
      </c>
      <c r="H41" s="3" t="s">
        <v>202</v>
      </c>
      <c r="I41" s="3">
        <v>1.0</v>
      </c>
      <c r="J41" s="3" t="s">
        <v>91</v>
      </c>
      <c r="K41" s="3">
        <f t="shared" si="3"/>
        <v>1</v>
      </c>
      <c r="L41" s="3" t="s">
        <v>133</v>
      </c>
      <c r="M41" s="3">
        <f t="shared" si="4"/>
        <v>0</v>
      </c>
      <c r="N41" s="4"/>
      <c r="O41" s="3" t="s">
        <v>93</v>
      </c>
      <c r="P41" s="3" t="s">
        <v>27</v>
      </c>
      <c r="Q41" s="3">
        <v>0.0</v>
      </c>
      <c r="R41" s="3">
        <v>0.0</v>
      </c>
      <c r="S41" s="3">
        <v>0.0</v>
      </c>
      <c r="T41" s="3">
        <v>0.0</v>
      </c>
      <c r="U41" s="3">
        <v>0.0</v>
      </c>
      <c r="V41" s="3">
        <v>0.0</v>
      </c>
      <c r="W41" s="3">
        <v>0.0</v>
      </c>
      <c r="X41" s="3">
        <v>0.0</v>
      </c>
      <c r="Y41" s="3">
        <v>0.0</v>
      </c>
      <c r="Z41" s="3">
        <v>0.0</v>
      </c>
      <c r="AA41" s="3">
        <v>0.0</v>
      </c>
      <c r="AB41" s="3">
        <v>1.0</v>
      </c>
      <c r="AC41" s="3">
        <v>0.0</v>
      </c>
      <c r="AD41" s="3" t="s">
        <v>667</v>
      </c>
      <c r="AE41" s="5" t="s">
        <v>96</v>
      </c>
      <c r="AF41" s="5">
        <v>0.5</v>
      </c>
      <c r="AG41" s="3" t="s">
        <v>97</v>
      </c>
      <c r="AH41" s="3">
        <v>1.0</v>
      </c>
      <c r="AI41" s="3" t="s">
        <v>668</v>
      </c>
      <c r="AJ41" s="5" t="s">
        <v>99</v>
      </c>
      <c r="AK41" s="5">
        <v>1.0</v>
      </c>
      <c r="AL41" s="3" t="s">
        <v>669</v>
      </c>
      <c r="AM41" s="5" t="s">
        <v>101</v>
      </c>
      <c r="AN41" s="5">
        <v>0.75</v>
      </c>
      <c r="AO41" s="3" t="s">
        <v>97</v>
      </c>
      <c r="AP41" s="3">
        <v>1.0</v>
      </c>
      <c r="AQ41" s="3" t="s">
        <v>670</v>
      </c>
      <c r="AR41" s="5" t="s">
        <v>103</v>
      </c>
      <c r="AS41" s="3">
        <v>1.0</v>
      </c>
      <c r="AT41" s="3" t="s">
        <v>27</v>
      </c>
      <c r="AU41" s="5" t="s">
        <v>104</v>
      </c>
      <c r="AV41" s="5">
        <v>0.0</v>
      </c>
      <c r="AW41" s="3" t="s">
        <v>671</v>
      </c>
      <c r="AX41" s="5" t="s">
        <v>106</v>
      </c>
      <c r="AY41" s="5">
        <v>0.25</v>
      </c>
      <c r="AZ41" s="3" t="s">
        <v>672</v>
      </c>
      <c r="BA41" s="5" t="s">
        <v>108</v>
      </c>
      <c r="BB41" s="5">
        <v>0.75</v>
      </c>
      <c r="BC41" s="3" t="s">
        <v>109</v>
      </c>
      <c r="BD41" s="5" t="s">
        <v>110</v>
      </c>
      <c r="BE41" s="3">
        <v>1.0</v>
      </c>
      <c r="BF41" s="3" t="s">
        <v>673</v>
      </c>
      <c r="BG41" s="5" t="s">
        <v>112</v>
      </c>
      <c r="BH41" s="5">
        <v>0.75</v>
      </c>
      <c r="BI41" s="3" t="s">
        <v>674</v>
      </c>
      <c r="BJ41" s="5" t="s">
        <v>114</v>
      </c>
      <c r="BK41" s="5">
        <v>1.0</v>
      </c>
      <c r="BL41" s="3" t="s">
        <v>115</v>
      </c>
      <c r="BM41" s="5" t="s">
        <v>116</v>
      </c>
      <c r="BN41" s="5">
        <v>1.0</v>
      </c>
      <c r="BO41" s="3" t="s">
        <v>211</v>
      </c>
      <c r="BP41" s="3"/>
      <c r="BQ41" s="3">
        <v>1.0</v>
      </c>
      <c r="BR41" s="3" t="s">
        <v>181</v>
      </c>
      <c r="BS41" s="5" t="s">
        <v>119</v>
      </c>
      <c r="BT41" s="5">
        <v>1.0</v>
      </c>
      <c r="BU41" s="3" t="s">
        <v>675</v>
      </c>
      <c r="BV41" s="5" t="s">
        <v>121</v>
      </c>
      <c r="BW41" s="5">
        <v>0.5</v>
      </c>
      <c r="BX41" s="3" t="s">
        <v>676</v>
      </c>
      <c r="BY41" s="5" t="s">
        <v>123</v>
      </c>
      <c r="BZ41" s="5">
        <v>0.25</v>
      </c>
      <c r="CA41" s="3" t="s">
        <v>97</v>
      </c>
      <c r="CB41" s="3" t="s">
        <v>677</v>
      </c>
      <c r="CC41" s="3" t="s">
        <v>97</v>
      </c>
      <c r="CD41" s="3" t="s">
        <v>165</v>
      </c>
      <c r="CE41" s="3" t="s">
        <v>678</v>
      </c>
      <c r="CF41" s="3" t="s">
        <v>97</v>
      </c>
      <c r="CG41" s="3" t="s">
        <v>679</v>
      </c>
      <c r="CH41" s="3">
        <v>6.0</v>
      </c>
    </row>
    <row r="42" ht="14.25" customHeight="1">
      <c r="A42" s="3">
        <v>44727.3750372338</v>
      </c>
      <c r="B42" s="3" t="s">
        <v>86</v>
      </c>
      <c r="C42" s="3">
        <f t="shared" si="1"/>
        <v>1</v>
      </c>
      <c r="D42" s="3" t="s">
        <v>169</v>
      </c>
      <c r="E42" s="3" t="s">
        <v>170</v>
      </c>
      <c r="F42" s="3">
        <f t="shared" si="2"/>
        <v>2</v>
      </c>
      <c r="G42" s="3" t="s">
        <v>130</v>
      </c>
      <c r="H42" s="3" t="s">
        <v>259</v>
      </c>
      <c r="I42" s="3">
        <v>1.0</v>
      </c>
      <c r="J42" s="3" t="s">
        <v>132</v>
      </c>
      <c r="K42" s="3">
        <f t="shared" si="3"/>
        <v>0</v>
      </c>
      <c r="L42" s="3" t="s">
        <v>133</v>
      </c>
      <c r="M42" s="3">
        <f t="shared" si="4"/>
        <v>0</v>
      </c>
      <c r="N42" s="4"/>
      <c r="O42" s="3" t="s">
        <v>93</v>
      </c>
      <c r="P42" s="3" t="s">
        <v>680</v>
      </c>
      <c r="Q42" s="3">
        <v>1.0</v>
      </c>
      <c r="R42" s="3">
        <v>0.0</v>
      </c>
      <c r="S42" s="3">
        <v>0.0</v>
      </c>
      <c r="T42" s="3">
        <v>0.0</v>
      </c>
      <c r="U42" s="3">
        <v>0.0</v>
      </c>
      <c r="V42" s="3">
        <v>1.0</v>
      </c>
      <c r="W42" s="3">
        <v>1.0</v>
      </c>
      <c r="X42" s="3">
        <v>0.0</v>
      </c>
      <c r="Y42" s="3">
        <v>0.0</v>
      </c>
      <c r="Z42" s="3">
        <v>0.0</v>
      </c>
      <c r="AA42" s="3">
        <v>0.0</v>
      </c>
      <c r="AB42" s="3">
        <v>0.0</v>
      </c>
      <c r="AC42" s="3">
        <v>0.0</v>
      </c>
      <c r="AD42" s="3" t="s">
        <v>681</v>
      </c>
      <c r="AE42" s="5" t="s">
        <v>96</v>
      </c>
      <c r="AF42" s="5">
        <v>0.25</v>
      </c>
      <c r="AG42" s="3" t="s">
        <v>97</v>
      </c>
      <c r="AH42" s="3">
        <v>1.0</v>
      </c>
      <c r="AI42" s="3" t="s">
        <v>682</v>
      </c>
      <c r="AJ42" s="5" t="s">
        <v>99</v>
      </c>
      <c r="AK42" s="5">
        <v>1.0</v>
      </c>
      <c r="AL42" s="3" t="s">
        <v>683</v>
      </c>
      <c r="AM42" s="5" t="s">
        <v>101</v>
      </c>
      <c r="AN42" s="5">
        <v>1.0</v>
      </c>
      <c r="AO42" s="3" t="s">
        <v>97</v>
      </c>
      <c r="AP42" s="3">
        <v>1.0</v>
      </c>
      <c r="AQ42" s="3" t="s">
        <v>684</v>
      </c>
      <c r="AR42" s="5" t="s">
        <v>103</v>
      </c>
      <c r="AS42" s="3">
        <v>1.0</v>
      </c>
      <c r="AT42" s="3" t="s">
        <v>685</v>
      </c>
      <c r="AU42" s="5" t="s">
        <v>104</v>
      </c>
      <c r="AV42" s="5">
        <v>0.5</v>
      </c>
      <c r="AW42" s="3" t="s">
        <v>686</v>
      </c>
      <c r="AX42" s="5" t="s">
        <v>106</v>
      </c>
      <c r="AY42" s="5">
        <v>0.0</v>
      </c>
      <c r="AZ42" s="3" t="s">
        <v>687</v>
      </c>
      <c r="BA42" s="5" t="s">
        <v>108</v>
      </c>
      <c r="BB42" s="5">
        <v>0.5</v>
      </c>
      <c r="BC42" s="3" t="s">
        <v>109</v>
      </c>
      <c r="BD42" s="5" t="s">
        <v>110</v>
      </c>
      <c r="BE42" s="3">
        <v>1.0</v>
      </c>
      <c r="BF42" s="3" t="s">
        <v>688</v>
      </c>
      <c r="BG42" s="5" t="s">
        <v>112</v>
      </c>
      <c r="BH42" s="5">
        <v>0.5</v>
      </c>
      <c r="BI42" s="3" t="s">
        <v>689</v>
      </c>
      <c r="BJ42" s="5" t="s">
        <v>114</v>
      </c>
      <c r="BK42" s="5">
        <v>0.75</v>
      </c>
      <c r="BL42" s="3" t="s">
        <v>115</v>
      </c>
      <c r="BM42" s="5" t="s">
        <v>116</v>
      </c>
      <c r="BN42" s="5">
        <v>1.0</v>
      </c>
      <c r="BO42" s="3" t="s">
        <v>160</v>
      </c>
      <c r="BP42" s="3"/>
      <c r="BQ42" s="3">
        <v>0.0</v>
      </c>
      <c r="BR42" s="3" t="s">
        <v>690</v>
      </c>
      <c r="BS42" s="5" t="s">
        <v>119</v>
      </c>
      <c r="BT42" s="5">
        <v>0.5</v>
      </c>
      <c r="BU42" s="3" t="s">
        <v>691</v>
      </c>
      <c r="BV42" s="5" t="s">
        <v>121</v>
      </c>
      <c r="BW42" s="5">
        <v>0.5</v>
      </c>
      <c r="BX42" s="3" t="s">
        <v>692</v>
      </c>
      <c r="BY42" s="5" t="s">
        <v>123</v>
      </c>
      <c r="BZ42" s="5">
        <v>0.25</v>
      </c>
      <c r="CA42" s="3" t="s">
        <v>97</v>
      </c>
      <c r="CB42" s="3" t="s">
        <v>693</v>
      </c>
      <c r="CC42" s="3" t="s">
        <v>97</v>
      </c>
      <c r="CD42" s="3" t="s">
        <v>165</v>
      </c>
      <c r="CE42" s="3" t="s">
        <v>694</v>
      </c>
      <c r="CF42" s="3" t="s">
        <v>97</v>
      </c>
      <c r="CG42" s="3" t="s">
        <v>695</v>
      </c>
      <c r="CH42" s="3">
        <v>4.0</v>
      </c>
    </row>
    <row r="43" ht="14.25" customHeight="1">
      <c r="A43" s="3">
        <v>44727.7162828819</v>
      </c>
      <c r="B43" s="3" t="s">
        <v>86</v>
      </c>
      <c r="C43" s="3">
        <f t="shared" si="1"/>
        <v>1</v>
      </c>
      <c r="D43" s="3" t="s">
        <v>87</v>
      </c>
      <c r="E43" s="3" t="s">
        <v>88</v>
      </c>
      <c r="F43" s="3">
        <f t="shared" si="2"/>
        <v>1</v>
      </c>
      <c r="G43" s="3" t="s">
        <v>130</v>
      </c>
      <c r="H43" s="3" t="s">
        <v>151</v>
      </c>
      <c r="I43" s="3">
        <v>2.0</v>
      </c>
      <c r="J43" s="3" t="s">
        <v>91</v>
      </c>
      <c r="K43" s="3">
        <f t="shared" si="3"/>
        <v>1</v>
      </c>
      <c r="L43" s="3" t="s">
        <v>133</v>
      </c>
      <c r="M43" s="3">
        <f t="shared" si="4"/>
        <v>0</v>
      </c>
      <c r="N43" s="4"/>
      <c r="O43" s="3" t="s">
        <v>93</v>
      </c>
      <c r="P43" s="3" t="s">
        <v>696</v>
      </c>
      <c r="Q43" s="3">
        <v>1.0</v>
      </c>
      <c r="R43" s="3">
        <v>0.0</v>
      </c>
      <c r="S43" s="3">
        <v>0.0</v>
      </c>
      <c r="T43" s="3">
        <v>0.0</v>
      </c>
      <c r="U43" s="3">
        <v>0.0</v>
      </c>
      <c r="V43" s="3">
        <v>0.0</v>
      </c>
      <c r="W43" s="3">
        <v>1.0</v>
      </c>
      <c r="X43" s="3">
        <v>0.0</v>
      </c>
      <c r="Y43" s="3">
        <v>0.0</v>
      </c>
      <c r="Z43" s="3">
        <v>1.0</v>
      </c>
      <c r="AA43" s="3">
        <v>0.0</v>
      </c>
      <c r="AB43" s="3">
        <v>0.0</v>
      </c>
      <c r="AC43" s="3">
        <v>0.0</v>
      </c>
      <c r="AD43" s="3" t="s">
        <v>697</v>
      </c>
      <c r="AE43" s="5" t="s">
        <v>96</v>
      </c>
      <c r="AF43" s="5">
        <v>0.0</v>
      </c>
      <c r="AG43" s="3" t="s">
        <v>97</v>
      </c>
      <c r="AH43" s="3">
        <v>1.0</v>
      </c>
      <c r="AI43" s="3" t="s">
        <v>698</v>
      </c>
      <c r="AJ43" s="5" t="s">
        <v>99</v>
      </c>
      <c r="AK43" s="5">
        <v>1.0</v>
      </c>
      <c r="AL43" s="3" t="s">
        <v>699</v>
      </c>
      <c r="AM43" s="5" t="s">
        <v>101</v>
      </c>
      <c r="AN43" s="5">
        <v>0.75</v>
      </c>
      <c r="AO43" s="3" t="s">
        <v>97</v>
      </c>
      <c r="AP43" s="3">
        <v>1.0</v>
      </c>
      <c r="AQ43" s="3" t="s">
        <v>700</v>
      </c>
      <c r="AR43" s="5" t="s">
        <v>103</v>
      </c>
      <c r="AS43" s="3">
        <v>1.0</v>
      </c>
      <c r="AT43" s="3" t="s">
        <v>94</v>
      </c>
      <c r="AU43" s="5" t="s">
        <v>104</v>
      </c>
      <c r="AV43" s="5">
        <v>1.0</v>
      </c>
      <c r="AW43" s="3" t="s">
        <v>701</v>
      </c>
      <c r="AX43" s="5" t="s">
        <v>106</v>
      </c>
      <c r="AY43" s="5">
        <v>0.25</v>
      </c>
      <c r="AZ43" s="3" t="s">
        <v>702</v>
      </c>
      <c r="BA43" s="5" t="s">
        <v>108</v>
      </c>
      <c r="BB43" s="5">
        <v>0.5</v>
      </c>
      <c r="BC43" s="3" t="s">
        <v>109</v>
      </c>
      <c r="BD43" s="5" t="s">
        <v>110</v>
      </c>
      <c r="BE43" s="3">
        <v>1.0</v>
      </c>
      <c r="BF43" s="3" t="s">
        <v>703</v>
      </c>
      <c r="BG43" s="5" t="s">
        <v>112</v>
      </c>
      <c r="BH43" s="5">
        <v>0.75</v>
      </c>
      <c r="BI43" s="3" t="s">
        <v>704</v>
      </c>
      <c r="BJ43" s="5" t="s">
        <v>114</v>
      </c>
      <c r="BK43" s="5">
        <v>1.0</v>
      </c>
      <c r="BL43" s="3" t="s">
        <v>115</v>
      </c>
      <c r="BM43" s="5" t="s">
        <v>116</v>
      </c>
      <c r="BN43" s="5">
        <v>1.0</v>
      </c>
      <c r="BO43" s="3" t="s">
        <v>117</v>
      </c>
      <c r="BP43" s="3"/>
      <c r="BQ43" s="3">
        <v>1.0</v>
      </c>
      <c r="BR43" s="3" t="s">
        <v>297</v>
      </c>
      <c r="BS43" s="5" t="s">
        <v>119</v>
      </c>
      <c r="BT43" s="5">
        <v>0.5</v>
      </c>
      <c r="BU43" s="3" t="s">
        <v>705</v>
      </c>
      <c r="BV43" s="5" t="s">
        <v>121</v>
      </c>
      <c r="BW43" s="5">
        <v>0.5</v>
      </c>
      <c r="BX43" s="3" t="s">
        <v>706</v>
      </c>
      <c r="BY43" s="5" t="s">
        <v>123</v>
      </c>
      <c r="BZ43" s="5">
        <v>0.5</v>
      </c>
      <c r="CA43" s="3" t="s">
        <v>97</v>
      </c>
      <c r="CB43" s="3" t="s">
        <v>707</v>
      </c>
      <c r="CC43" s="3" t="s">
        <v>97</v>
      </c>
      <c r="CD43" s="3" t="s">
        <v>165</v>
      </c>
      <c r="CE43" s="3" t="s">
        <v>708</v>
      </c>
      <c r="CF43" s="3" t="s">
        <v>97</v>
      </c>
      <c r="CG43" s="3" t="s">
        <v>709</v>
      </c>
      <c r="CH43" s="3">
        <v>5.0</v>
      </c>
    </row>
    <row r="44" ht="14.25" customHeight="1">
      <c r="A44" s="3">
        <v>44727.7326011343</v>
      </c>
      <c r="B44" s="3" t="s">
        <v>86</v>
      </c>
      <c r="C44" s="3">
        <f t="shared" si="1"/>
        <v>1</v>
      </c>
      <c r="D44" s="3" t="s">
        <v>128</v>
      </c>
      <c r="E44" s="3" t="s">
        <v>129</v>
      </c>
      <c r="F44" s="3">
        <f t="shared" si="2"/>
        <v>3</v>
      </c>
      <c r="G44" s="3" t="s">
        <v>130</v>
      </c>
      <c r="H44" s="3" t="s">
        <v>594</v>
      </c>
      <c r="I44" s="3">
        <v>2.0</v>
      </c>
      <c r="J44" s="3" t="s">
        <v>132</v>
      </c>
      <c r="K44" s="3">
        <f t="shared" si="3"/>
        <v>0</v>
      </c>
      <c r="L44" s="3" t="s">
        <v>133</v>
      </c>
      <c r="M44" s="3">
        <f t="shared" si="4"/>
        <v>0</v>
      </c>
      <c r="N44" s="4"/>
      <c r="O44" s="3" t="s">
        <v>93</v>
      </c>
      <c r="P44" s="3" t="s">
        <v>25</v>
      </c>
      <c r="Q44" s="3">
        <v>0.0</v>
      </c>
      <c r="R44" s="3">
        <v>0.0</v>
      </c>
      <c r="S44" s="3">
        <v>0.0</v>
      </c>
      <c r="T44" s="3">
        <v>0.0</v>
      </c>
      <c r="U44" s="3">
        <v>0.0</v>
      </c>
      <c r="V44" s="3">
        <v>0.0</v>
      </c>
      <c r="W44" s="3">
        <v>0.0</v>
      </c>
      <c r="X44" s="3">
        <v>0.0</v>
      </c>
      <c r="Y44" s="3">
        <v>0.0</v>
      </c>
      <c r="Z44" s="3">
        <v>1.0</v>
      </c>
      <c r="AA44" s="3">
        <v>0.0</v>
      </c>
      <c r="AB44" s="3">
        <v>0.0</v>
      </c>
      <c r="AC44" s="3">
        <v>0.0</v>
      </c>
      <c r="AD44" s="3" t="s">
        <v>710</v>
      </c>
      <c r="AE44" s="5" t="s">
        <v>96</v>
      </c>
      <c r="AF44" s="5">
        <v>0.5</v>
      </c>
      <c r="AG44" s="3" t="s">
        <v>97</v>
      </c>
      <c r="AH44" s="3">
        <v>1.0</v>
      </c>
      <c r="AI44" s="3" t="s">
        <v>711</v>
      </c>
      <c r="AJ44" s="5" t="s">
        <v>99</v>
      </c>
      <c r="AK44" s="5">
        <v>1.0</v>
      </c>
      <c r="AL44" s="3" t="s">
        <v>712</v>
      </c>
      <c r="AM44" s="5" t="s">
        <v>101</v>
      </c>
      <c r="AN44" s="5">
        <v>0.75</v>
      </c>
      <c r="AO44" s="3" t="s">
        <v>97</v>
      </c>
      <c r="AP44" s="3">
        <v>1.0</v>
      </c>
      <c r="AQ44" s="3" t="s">
        <v>713</v>
      </c>
      <c r="AR44" s="5" t="s">
        <v>103</v>
      </c>
      <c r="AS44" s="5">
        <v>1.0</v>
      </c>
      <c r="AT44" s="3" t="s">
        <v>94</v>
      </c>
      <c r="AU44" s="5" t="s">
        <v>104</v>
      </c>
      <c r="AV44" s="5">
        <v>1.0</v>
      </c>
      <c r="AW44" s="3" t="s">
        <v>714</v>
      </c>
      <c r="AX44" s="5" t="s">
        <v>106</v>
      </c>
      <c r="AY44" s="5">
        <v>0.5</v>
      </c>
      <c r="AZ44" s="3" t="s">
        <v>715</v>
      </c>
      <c r="BA44" s="5" t="s">
        <v>108</v>
      </c>
      <c r="BB44" s="5">
        <v>0.25</v>
      </c>
      <c r="BC44" s="3" t="s">
        <v>109</v>
      </c>
      <c r="BD44" s="5" t="s">
        <v>110</v>
      </c>
      <c r="BE44" s="3">
        <v>1.0</v>
      </c>
      <c r="BF44" s="3" t="s">
        <v>716</v>
      </c>
      <c r="BG44" s="5" t="s">
        <v>112</v>
      </c>
      <c r="BH44" s="5">
        <v>0.5</v>
      </c>
      <c r="BI44" s="3" t="s">
        <v>717</v>
      </c>
      <c r="BJ44" s="5" t="s">
        <v>114</v>
      </c>
      <c r="BK44" s="5">
        <v>0.75</v>
      </c>
      <c r="BL44" s="3" t="s">
        <v>718</v>
      </c>
      <c r="BM44" s="5" t="s">
        <v>116</v>
      </c>
      <c r="BN44" s="5">
        <v>1.0</v>
      </c>
      <c r="BO44" s="3" t="s">
        <v>160</v>
      </c>
      <c r="BP44" s="3"/>
      <c r="BQ44" s="3">
        <v>0.0</v>
      </c>
      <c r="BR44" s="3" t="s">
        <v>492</v>
      </c>
      <c r="BS44" s="5" t="s">
        <v>119</v>
      </c>
      <c r="BT44" s="5">
        <v>0.5</v>
      </c>
      <c r="BU44" s="3" t="s">
        <v>719</v>
      </c>
      <c r="BV44" s="5" t="s">
        <v>121</v>
      </c>
      <c r="BW44" s="5">
        <v>0.25</v>
      </c>
      <c r="BX44" s="3" t="s">
        <v>720</v>
      </c>
      <c r="BY44" s="5" t="s">
        <v>123</v>
      </c>
      <c r="BZ44" s="5">
        <v>0.5</v>
      </c>
      <c r="CA44" s="3" t="s">
        <v>97</v>
      </c>
      <c r="CB44" s="3" t="s">
        <v>721</v>
      </c>
      <c r="CC44" s="3" t="s">
        <v>97</v>
      </c>
      <c r="CD44" s="3" t="s">
        <v>125</v>
      </c>
      <c r="CE44" s="3" t="s">
        <v>722</v>
      </c>
      <c r="CF44" s="3" t="s">
        <v>97</v>
      </c>
      <c r="CG44" s="3" t="s">
        <v>723</v>
      </c>
      <c r="CH44" s="3">
        <v>3.0</v>
      </c>
    </row>
    <row r="45" ht="14.25" customHeight="1">
      <c r="A45" s="3">
        <v>44728.1805686806</v>
      </c>
      <c r="B45" s="3" t="s">
        <v>149</v>
      </c>
      <c r="C45" s="3">
        <f t="shared" si="1"/>
        <v>0</v>
      </c>
      <c r="D45" s="3" t="s">
        <v>169</v>
      </c>
      <c r="E45" s="3" t="s">
        <v>170</v>
      </c>
      <c r="F45" s="3">
        <f t="shared" si="2"/>
        <v>2</v>
      </c>
      <c r="G45" s="3" t="s">
        <v>724</v>
      </c>
      <c r="H45" s="3" t="s">
        <v>259</v>
      </c>
      <c r="I45" s="3">
        <v>1.0</v>
      </c>
      <c r="J45" s="3" t="s">
        <v>91</v>
      </c>
      <c r="K45" s="3">
        <f t="shared" si="3"/>
        <v>1</v>
      </c>
      <c r="L45" s="3" t="s">
        <v>133</v>
      </c>
      <c r="M45" s="3">
        <f t="shared" si="4"/>
        <v>0</v>
      </c>
      <c r="N45" s="4"/>
      <c r="O45" s="3" t="s">
        <v>93</v>
      </c>
      <c r="P45" s="3" t="s">
        <v>725</v>
      </c>
      <c r="Q45" s="3">
        <v>1.0</v>
      </c>
      <c r="R45" s="3">
        <v>0.0</v>
      </c>
      <c r="S45" s="3">
        <v>0.0</v>
      </c>
      <c r="T45" s="3">
        <v>0.0</v>
      </c>
      <c r="U45" s="3">
        <v>0.0</v>
      </c>
      <c r="V45" s="3">
        <v>1.0</v>
      </c>
      <c r="W45" s="3">
        <v>0.0</v>
      </c>
      <c r="X45" s="3">
        <v>0.0</v>
      </c>
      <c r="Y45" s="3">
        <v>0.0</v>
      </c>
      <c r="Z45" s="3">
        <v>0.0</v>
      </c>
      <c r="AA45" s="3">
        <v>0.0</v>
      </c>
      <c r="AB45" s="3">
        <v>0.0</v>
      </c>
      <c r="AC45" s="3">
        <v>0.0</v>
      </c>
      <c r="AD45" s="3" t="s">
        <v>726</v>
      </c>
      <c r="AE45" s="5" t="s">
        <v>96</v>
      </c>
      <c r="AF45" s="5">
        <v>0.25</v>
      </c>
      <c r="AG45" s="3" t="s">
        <v>167</v>
      </c>
      <c r="AH45" s="3">
        <v>0.0</v>
      </c>
      <c r="AI45" s="3" t="s">
        <v>727</v>
      </c>
      <c r="AJ45" s="5" t="s">
        <v>99</v>
      </c>
      <c r="AK45" s="5">
        <v>1.0</v>
      </c>
      <c r="AL45" s="3" t="s">
        <v>728</v>
      </c>
      <c r="AM45" s="5" t="s">
        <v>101</v>
      </c>
      <c r="AN45" s="5">
        <v>0.5</v>
      </c>
      <c r="AO45" s="3" t="s">
        <v>97</v>
      </c>
      <c r="AP45" s="3">
        <v>1.0</v>
      </c>
      <c r="AQ45" s="3" t="s">
        <v>729</v>
      </c>
      <c r="AR45" s="5" t="s">
        <v>103</v>
      </c>
      <c r="AS45" s="3">
        <v>0.0</v>
      </c>
      <c r="AT45" s="3" t="s">
        <v>94</v>
      </c>
      <c r="AU45" s="5" t="s">
        <v>104</v>
      </c>
      <c r="AV45" s="5">
        <v>1.0</v>
      </c>
      <c r="AW45" s="3" t="s">
        <v>730</v>
      </c>
      <c r="AX45" s="5" t="s">
        <v>106</v>
      </c>
      <c r="AY45" s="5">
        <v>0.25</v>
      </c>
      <c r="AZ45" s="3" t="s">
        <v>731</v>
      </c>
      <c r="BA45" s="5" t="s">
        <v>108</v>
      </c>
      <c r="BB45" s="5">
        <v>0.75</v>
      </c>
      <c r="BC45" s="3" t="s">
        <v>109</v>
      </c>
      <c r="BD45" s="5" t="s">
        <v>110</v>
      </c>
      <c r="BE45" s="3">
        <v>1.0</v>
      </c>
      <c r="BF45" s="3" t="s">
        <v>732</v>
      </c>
      <c r="BG45" s="5" t="s">
        <v>112</v>
      </c>
      <c r="BH45" s="5">
        <v>0.0</v>
      </c>
      <c r="BI45" s="3" t="s">
        <v>733</v>
      </c>
      <c r="BJ45" s="5" t="s">
        <v>114</v>
      </c>
      <c r="BK45" s="5">
        <v>1.0</v>
      </c>
      <c r="BL45" s="3" t="s">
        <v>115</v>
      </c>
      <c r="BM45" s="5" t="s">
        <v>116</v>
      </c>
      <c r="BN45" s="5">
        <v>1.0</v>
      </c>
      <c r="BO45" s="3" t="s">
        <v>117</v>
      </c>
      <c r="BP45" s="3"/>
      <c r="BQ45" s="3">
        <v>1.0</v>
      </c>
      <c r="BR45" s="3" t="s">
        <v>161</v>
      </c>
      <c r="BS45" s="5" t="s">
        <v>119</v>
      </c>
      <c r="BT45" s="5">
        <v>1.0</v>
      </c>
      <c r="BU45" s="3" t="s">
        <v>734</v>
      </c>
      <c r="BV45" s="5" t="s">
        <v>121</v>
      </c>
      <c r="BW45" s="5">
        <v>0.5</v>
      </c>
      <c r="BX45" s="3" t="s">
        <v>735</v>
      </c>
      <c r="BY45" s="5" t="s">
        <v>123</v>
      </c>
      <c r="BZ45" s="5">
        <v>0.75</v>
      </c>
      <c r="CA45" s="3" t="s">
        <v>97</v>
      </c>
      <c r="CB45" s="3" t="s">
        <v>736</v>
      </c>
      <c r="CC45" s="3" t="s">
        <v>97</v>
      </c>
      <c r="CD45" s="3" t="s">
        <v>165</v>
      </c>
      <c r="CE45" s="3" t="s">
        <v>737</v>
      </c>
      <c r="CF45" s="3" t="s">
        <v>167</v>
      </c>
      <c r="CG45" s="3" t="s">
        <v>738</v>
      </c>
      <c r="CH45" s="3">
        <v>3.0</v>
      </c>
    </row>
    <row r="46" ht="14.25" customHeight="1">
      <c r="A46" s="3">
        <v>44728.1881611343</v>
      </c>
      <c r="B46" s="3" t="s">
        <v>149</v>
      </c>
      <c r="C46" s="3">
        <f t="shared" si="1"/>
        <v>0</v>
      </c>
      <c r="D46" s="3" t="s">
        <v>169</v>
      </c>
      <c r="E46" s="3" t="s">
        <v>170</v>
      </c>
      <c r="F46" s="3">
        <f t="shared" si="2"/>
        <v>2</v>
      </c>
      <c r="G46" s="3" t="s">
        <v>150</v>
      </c>
      <c r="H46" s="3" t="s">
        <v>448</v>
      </c>
      <c r="I46" s="3">
        <v>1.0</v>
      </c>
      <c r="J46" s="3" t="s">
        <v>132</v>
      </c>
      <c r="K46" s="3">
        <f t="shared" si="3"/>
        <v>0</v>
      </c>
      <c r="L46" s="3" t="s">
        <v>133</v>
      </c>
      <c r="M46" s="3">
        <f t="shared" si="4"/>
        <v>0</v>
      </c>
      <c r="N46" s="4"/>
      <c r="O46" s="3" t="s">
        <v>93</v>
      </c>
      <c r="P46" s="3" t="s">
        <v>25</v>
      </c>
      <c r="Q46" s="3">
        <v>0.0</v>
      </c>
      <c r="R46" s="3">
        <v>0.0</v>
      </c>
      <c r="S46" s="3">
        <v>0.0</v>
      </c>
      <c r="T46" s="3">
        <v>0.0</v>
      </c>
      <c r="U46" s="3">
        <v>0.0</v>
      </c>
      <c r="V46" s="3">
        <v>0.0</v>
      </c>
      <c r="W46" s="3">
        <v>0.0</v>
      </c>
      <c r="X46" s="3">
        <v>0.0</v>
      </c>
      <c r="Y46" s="3">
        <v>0.0</v>
      </c>
      <c r="Z46" s="3">
        <v>1.0</v>
      </c>
      <c r="AA46" s="3">
        <v>0.0</v>
      </c>
      <c r="AB46" s="3">
        <v>0.0</v>
      </c>
      <c r="AC46" s="3">
        <v>0.0</v>
      </c>
      <c r="AD46" s="3" t="s">
        <v>739</v>
      </c>
      <c r="AE46" s="5" t="s">
        <v>96</v>
      </c>
      <c r="AF46" s="5">
        <v>0.5</v>
      </c>
      <c r="AG46" s="3" t="s">
        <v>97</v>
      </c>
      <c r="AH46" s="3">
        <v>1.0</v>
      </c>
      <c r="AI46" s="3" t="s">
        <v>740</v>
      </c>
      <c r="AJ46" s="5" t="s">
        <v>99</v>
      </c>
      <c r="AK46" s="5">
        <v>0.0</v>
      </c>
      <c r="AL46" s="3" t="s">
        <v>741</v>
      </c>
      <c r="AM46" s="5" t="s">
        <v>101</v>
      </c>
      <c r="AN46" s="5">
        <v>0.75</v>
      </c>
      <c r="AO46" s="3" t="s">
        <v>167</v>
      </c>
      <c r="AP46" s="3">
        <v>0.0</v>
      </c>
      <c r="AQ46" s="3" t="s">
        <v>742</v>
      </c>
      <c r="AR46" s="5" t="s">
        <v>103</v>
      </c>
      <c r="AS46" s="3">
        <v>1.0</v>
      </c>
      <c r="AT46" s="3" t="s">
        <v>94</v>
      </c>
      <c r="AU46" s="5" t="s">
        <v>104</v>
      </c>
      <c r="AV46" s="5">
        <v>1.0</v>
      </c>
      <c r="AW46" s="3" t="s">
        <v>743</v>
      </c>
      <c r="AX46" s="5" t="s">
        <v>106</v>
      </c>
      <c r="AY46" s="5">
        <v>0.25</v>
      </c>
      <c r="AZ46" s="3" t="s">
        <v>744</v>
      </c>
      <c r="BA46" s="5" t="s">
        <v>108</v>
      </c>
      <c r="BB46" s="5">
        <v>1.0</v>
      </c>
      <c r="BC46" s="3" t="s">
        <v>109</v>
      </c>
      <c r="BD46" s="5" t="s">
        <v>110</v>
      </c>
      <c r="BE46" s="3">
        <v>1.0</v>
      </c>
      <c r="BF46" s="3" t="s">
        <v>745</v>
      </c>
      <c r="BG46" s="5" t="s">
        <v>112</v>
      </c>
      <c r="BH46" s="5">
        <v>0.75</v>
      </c>
      <c r="BI46" s="3" t="s">
        <v>746</v>
      </c>
      <c r="BJ46" s="5" t="s">
        <v>114</v>
      </c>
      <c r="BK46" s="5">
        <v>0.75</v>
      </c>
      <c r="BL46" s="3" t="s">
        <v>115</v>
      </c>
      <c r="BM46" s="5" t="s">
        <v>116</v>
      </c>
      <c r="BN46" s="5">
        <v>1.0</v>
      </c>
      <c r="BO46" s="3" t="s">
        <v>160</v>
      </c>
      <c r="BP46" s="3"/>
      <c r="BQ46" s="3">
        <v>0.0</v>
      </c>
      <c r="BR46" s="3" t="s">
        <v>747</v>
      </c>
      <c r="BS46" s="5" t="s">
        <v>119</v>
      </c>
      <c r="BT46" s="5">
        <v>0.75</v>
      </c>
      <c r="BU46" s="3" t="s">
        <v>748</v>
      </c>
      <c r="BV46" s="5" t="s">
        <v>121</v>
      </c>
      <c r="BW46" s="5">
        <v>0.25</v>
      </c>
      <c r="BX46" s="3" t="s">
        <v>749</v>
      </c>
      <c r="BY46" s="5" t="s">
        <v>123</v>
      </c>
      <c r="BZ46" s="5">
        <v>0.5</v>
      </c>
      <c r="CA46" s="3" t="s">
        <v>97</v>
      </c>
      <c r="CB46" s="3" t="s">
        <v>750</v>
      </c>
      <c r="CC46" s="3" t="s">
        <v>97</v>
      </c>
      <c r="CD46" s="3" t="s">
        <v>165</v>
      </c>
      <c r="CE46" s="3" t="s">
        <v>751</v>
      </c>
      <c r="CF46" s="3" t="s">
        <v>167</v>
      </c>
      <c r="CG46" s="3" t="s">
        <v>752</v>
      </c>
      <c r="CH46" s="3">
        <v>3.0</v>
      </c>
    </row>
    <row r="47" ht="14.25" customHeight="1">
      <c r="A47" s="3">
        <v>44728.2151620255</v>
      </c>
      <c r="B47" s="3" t="s">
        <v>149</v>
      </c>
      <c r="C47" s="3">
        <f t="shared" si="1"/>
        <v>0</v>
      </c>
      <c r="D47" s="3" t="s">
        <v>393</v>
      </c>
      <c r="E47" s="3" t="s">
        <v>394</v>
      </c>
      <c r="F47" s="3">
        <f t="shared" si="2"/>
        <v>0</v>
      </c>
      <c r="G47" s="3" t="s">
        <v>150</v>
      </c>
      <c r="H47" s="3" t="s">
        <v>151</v>
      </c>
      <c r="I47" s="3">
        <v>2.0</v>
      </c>
      <c r="J47" s="3" t="s">
        <v>91</v>
      </c>
      <c r="K47" s="3">
        <f t="shared" si="3"/>
        <v>1</v>
      </c>
      <c r="L47" s="3" t="s">
        <v>92</v>
      </c>
      <c r="M47" s="3">
        <f t="shared" si="4"/>
        <v>1</v>
      </c>
      <c r="N47" s="4"/>
      <c r="O47" s="3" t="s">
        <v>93</v>
      </c>
      <c r="P47" s="3" t="s">
        <v>753</v>
      </c>
      <c r="Q47" s="3">
        <v>0.0</v>
      </c>
      <c r="R47" s="3">
        <v>0.0</v>
      </c>
      <c r="S47" s="3">
        <v>0.0</v>
      </c>
      <c r="T47" s="3">
        <v>0.0</v>
      </c>
      <c r="U47" s="3">
        <v>0.0</v>
      </c>
      <c r="V47" s="3">
        <v>1.0</v>
      </c>
      <c r="W47" s="3">
        <v>0.0</v>
      </c>
      <c r="X47" s="3">
        <v>0.0</v>
      </c>
      <c r="Y47" s="3">
        <v>0.0</v>
      </c>
      <c r="Z47" s="3">
        <v>0.0</v>
      </c>
      <c r="AA47" s="3">
        <v>0.0</v>
      </c>
      <c r="AB47" s="3">
        <v>0.0</v>
      </c>
      <c r="AC47" s="3">
        <v>0.0</v>
      </c>
      <c r="AD47" s="3" t="s">
        <v>754</v>
      </c>
      <c r="AE47" s="5" t="s">
        <v>96</v>
      </c>
      <c r="AF47" s="5">
        <v>0.5</v>
      </c>
      <c r="AG47" s="3" t="s">
        <v>97</v>
      </c>
      <c r="AH47" s="3">
        <v>1.0</v>
      </c>
      <c r="AI47" s="3" t="s">
        <v>755</v>
      </c>
      <c r="AJ47" s="5" t="s">
        <v>99</v>
      </c>
      <c r="AK47" s="5">
        <v>1.0</v>
      </c>
      <c r="AL47" s="3" t="s">
        <v>756</v>
      </c>
      <c r="AM47" s="5" t="s">
        <v>101</v>
      </c>
      <c r="AN47" s="5">
        <v>0.5</v>
      </c>
      <c r="AO47" s="3" t="s">
        <v>167</v>
      </c>
      <c r="AP47" s="3">
        <v>0.0</v>
      </c>
      <c r="AQ47" s="3" t="s">
        <v>757</v>
      </c>
      <c r="AR47" s="5" t="s">
        <v>103</v>
      </c>
      <c r="AS47" s="3">
        <v>1.0</v>
      </c>
      <c r="AT47" s="3" t="s">
        <v>94</v>
      </c>
      <c r="AU47" s="5" t="s">
        <v>104</v>
      </c>
      <c r="AV47" s="5">
        <v>1.0</v>
      </c>
      <c r="AW47" s="3" t="s">
        <v>105</v>
      </c>
      <c r="AX47" s="5" t="s">
        <v>106</v>
      </c>
      <c r="AY47" s="5">
        <v>0.0</v>
      </c>
      <c r="AZ47" s="3" t="s">
        <v>758</v>
      </c>
      <c r="BA47" s="5" t="s">
        <v>108</v>
      </c>
      <c r="BB47" s="5">
        <v>0.5</v>
      </c>
      <c r="BC47" s="3" t="s">
        <v>109</v>
      </c>
      <c r="BD47" s="5" t="s">
        <v>110</v>
      </c>
      <c r="BE47" s="3">
        <v>1.0</v>
      </c>
      <c r="BF47" s="3" t="s">
        <v>759</v>
      </c>
      <c r="BG47" s="5" t="s">
        <v>112</v>
      </c>
      <c r="BH47" s="5">
        <v>0.75</v>
      </c>
      <c r="BI47" s="3" t="s">
        <v>760</v>
      </c>
      <c r="BJ47" s="5" t="s">
        <v>114</v>
      </c>
      <c r="BK47" s="5">
        <v>1.0</v>
      </c>
      <c r="BL47" s="3" t="s">
        <v>115</v>
      </c>
      <c r="BM47" s="5" t="s">
        <v>116</v>
      </c>
      <c r="BN47" s="5">
        <v>1.0</v>
      </c>
      <c r="BO47" s="3" t="s">
        <v>211</v>
      </c>
      <c r="BP47" s="3"/>
      <c r="BQ47" s="3">
        <v>1.0</v>
      </c>
      <c r="BR47" s="3" t="s">
        <v>118</v>
      </c>
      <c r="BS47" s="5" t="s">
        <v>119</v>
      </c>
      <c r="BT47" s="5">
        <v>0.5</v>
      </c>
      <c r="BU47" s="3" t="s">
        <v>761</v>
      </c>
      <c r="BV47" s="5" t="s">
        <v>121</v>
      </c>
      <c r="BW47" s="5">
        <v>0.0</v>
      </c>
      <c r="BX47" s="3" t="s">
        <v>762</v>
      </c>
      <c r="BY47" s="5" t="s">
        <v>123</v>
      </c>
      <c r="BZ47" s="5">
        <v>0.25</v>
      </c>
      <c r="CA47" s="3" t="s">
        <v>97</v>
      </c>
      <c r="CB47" s="3" t="s">
        <v>763</v>
      </c>
      <c r="CC47" s="3" t="s">
        <v>97</v>
      </c>
      <c r="CD47" s="3" t="s">
        <v>165</v>
      </c>
      <c r="CE47" s="3" t="s">
        <v>764</v>
      </c>
      <c r="CF47" s="3" t="s">
        <v>97</v>
      </c>
      <c r="CG47" s="3" t="s">
        <v>765</v>
      </c>
      <c r="CH47" s="3">
        <v>5.0</v>
      </c>
    </row>
    <row r="48" ht="14.25" customHeight="1">
      <c r="A48" s="3">
        <v>44728.2505986458</v>
      </c>
      <c r="B48" s="3" t="s">
        <v>86</v>
      </c>
      <c r="C48" s="3">
        <f t="shared" si="1"/>
        <v>1</v>
      </c>
      <c r="D48" s="3" t="s">
        <v>169</v>
      </c>
      <c r="E48" s="3" t="s">
        <v>170</v>
      </c>
      <c r="F48" s="3">
        <f t="shared" si="2"/>
        <v>2</v>
      </c>
      <c r="G48" s="3" t="s">
        <v>130</v>
      </c>
      <c r="H48" s="3" t="s">
        <v>151</v>
      </c>
      <c r="I48" s="3">
        <v>2.0</v>
      </c>
      <c r="J48" s="3" t="s">
        <v>317</v>
      </c>
      <c r="K48" s="3">
        <f t="shared" si="3"/>
        <v>2</v>
      </c>
      <c r="L48" s="3" t="s">
        <v>92</v>
      </c>
      <c r="M48" s="3">
        <f t="shared" si="4"/>
        <v>1</v>
      </c>
      <c r="N48" s="4"/>
      <c r="O48" s="3" t="s">
        <v>766</v>
      </c>
      <c r="P48" s="3" t="s">
        <v>725</v>
      </c>
      <c r="Q48" s="3">
        <v>1.0</v>
      </c>
      <c r="R48" s="3">
        <v>0.0</v>
      </c>
      <c r="S48" s="3">
        <v>0.0</v>
      </c>
      <c r="T48" s="3">
        <v>0.0</v>
      </c>
      <c r="U48" s="3">
        <v>0.0</v>
      </c>
      <c r="V48" s="3">
        <v>1.0</v>
      </c>
      <c r="W48" s="3">
        <v>0.0</v>
      </c>
      <c r="X48" s="3">
        <v>0.0</v>
      </c>
      <c r="Y48" s="3">
        <v>0.0</v>
      </c>
      <c r="Z48" s="3">
        <v>0.0</v>
      </c>
      <c r="AA48" s="3">
        <v>0.0</v>
      </c>
      <c r="AB48" s="3">
        <v>0.0</v>
      </c>
      <c r="AC48" s="3">
        <v>0.0</v>
      </c>
      <c r="AD48" s="3" t="s">
        <v>767</v>
      </c>
      <c r="AE48" s="5" t="s">
        <v>96</v>
      </c>
      <c r="AF48" s="5">
        <v>0.75</v>
      </c>
      <c r="AG48" s="3" t="s">
        <v>97</v>
      </c>
      <c r="AH48" s="3">
        <v>1.0</v>
      </c>
      <c r="AI48" s="3" t="s">
        <v>768</v>
      </c>
      <c r="AJ48" s="5" t="s">
        <v>99</v>
      </c>
      <c r="AK48" s="5">
        <v>1.0</v>
      </c>
      <c r="AL48" s="3" t="s">
        <v>769</v>
      </c>
      <c r="AM48" s="5" t="s">
        <v>101</v>
      </c>
      <c r="AN48" s="5">
        <v>1.0</v>
      </c>
      <c r="AO48" s="3" t="s">
        <v>97</v>
      </c>
      <c r="AP48" s="3">
        <v>1.0</v>
      </c>
      <c r="AQ48" s="3" t="s">
        <v>757</v>
      </c>
      <c r="AR48" s="5" t="s">
        <v>103</v>
      </c>
      <c r="AS48" s="3">
        <v>1.0</v>
      </c>
      <c r="AT48" s="3" t="s">
        <v>94</v>
      </c>
      <c r="AU48" s="5" t="s">
        <v>104</v>
      </c>
      <c r="AV48" s="5">
        <v>1.0</v>
      </c>
      <c r="AW48" s="3" t="s">
        <v>770</v>
      </c>
      <c r="AX48" s="5" t="s">
        <v>106</v>
      </c>
      <c r="AY48" s="5">
        <v>0.25</v>
      </c>
      <c r="AZ48" s="3" t="s">
        <v>771</v>
      </c>
      <c r="BA48" s="5" t="s">
        <v>108</v>
      </c>
      <c r="BB48" s="5">
        <v>0.75</v>
      </c>
      <c r="BC48" s="3" t="s">
        <v>109</v>
      </c>
      <c r="BD48" s="5" t="s">
        <v>110</v>
      </c>
      <c r="BE48" s="3">
        <v>1.0</v>
      </c>
      <c r="BF48" s="3" t="s">
        <v>772</v>
      </c>
      <c r="BG48" s="5" t="s">
        <v>112</v>
      </c>
      <c r="BH48" s="5">
        <v>1.0</v>
      </c>
      <c r="BI48" s="3" t="s">
        <v>773</v>
      </c>
      <c r="BJ48" s="5" t="s">
        <v>114</v>
      </c>
      <c r="BK48" s="5">
        <v>1.0</v>
      </c>
      <c r="BL48" s="3" t="s">
        <v>115</v>
      </c>
      <c r="BM48" s="5" t="s">
        <v>116</v>
      </c>
      <c r="BN48" s="5">
        <v>1.0</v>
      </c>
      <c r="BO48" s="3" t="s">
        <v>211</v>
      </c>
      <c r="BP48" s="3"/>
      <c r="BQ48" s="3">
        <v>1.0</v>
      </c>
      <c r="BR48" s="3" t="s">
        <v>161</v>
      </c>
      <c r="BS48" s="5" t="s">
        <v>119</v>
      </c>
      <c r="BT48" s="5">
        <v>1.0</v>
      </c>
      <c r="BU48" s="3" t="s">
        <v>774</v>
      </c>
      <c r="BV48" s="5" t="s">
        <v>121</v>
      </c>
      <c r="BW48" s="5">
        <v>0.75</v>
      </c>
      <c r="BX48" s="3" t="s">
        <v>775</v>
      </c>
      <c r="BY48" s="5" t="s">
        <v>123</v>
      </c>
      <c r="BZ48" s="5">
        <v>0.75</v>
      </c>
      <c r="CA48" s="3" t="s">
        <v>97</v>
      </c>
      <c r="CB48" s="3" t="s">
        <v>776</v>
      </c>
      <c r="CC48" s="3" t="s">
        <v>97</v>
      </c>
      <c r="CD48" s="3" t="s">
        <v>125</v>
      </c>
      <c r="CE48" s="3" t="s">
        <v>777</v>
      </c>
      <c r="CF48" s="3" t="s">
        <v>97</v>
      </c>
      <c r="CG48" s="3" t="s">
        <v>778</v>
      </c>
      <c r="CH48" s="3">
        <v>5.0</v>
      </c>
    </row>
    <row r="49" ht="14.25" customHeight="1">
      <c r="A49" s="3">
        <v>44728.2593128241</v>
      </c>
      <c r="B49" s="3" t="s">
        <v>149</v>
      </c>
      <c r="C49" s="3">
        <f t="shared" si="1"/>
        <v>0</v>
      </c>
      <c r="D49" s="3" t="s">
        <v>169</v>
      </c>
      <c r="E49" s="3" t="s">
        <v>170</v>
      </c>
      <c r="F49" s="3">
        <f t="shared" si="2"/>
        <v>2</v>
      </c>
      <c r="G49" s="3" t="s">
        <v>150</v>
      </c>
      <c r="H49" s="3" t="s">
        <v>259</v>
      </c>
      <c r="I49" s="3">
        <v>1.0</v>
      </c>
      <c r="J49" s="3" t="s">
        <v>91</v>
      </c>
      <c r="K49" s="3">
        <f t="shared" si="3"/>
        <v>1</v>
      </c>
      <c r="L49" s="3" t="s">
        <v>133</v>
      </c>
      <c r="M49" s="3">
        <f t="shared" si="4"/>
        <v>0</v>
      </c>
      <c r="N49" s="4"/>
      <c r="O49" s="3" t="s">
        <v>93</v>
      </c>
      <c r="P49" s="3" t="s">
        <v>16</v>
      </c>
      <c r="Q49" s="3">
        <v>1.0</v>
      </c>
      <c r="R49" s="3">
        <v>0.0</v>
      </c>
      <c r="S49" s="3">
        <v>0.0</v>
      </c>
      <c r="T49" s="3">
        <v>0.0</v>
      </c>
      <c r="U49" s="3">
        <v>0.0</v>
      </c>
      <c r="V49" s="3">
        <v>0.0</v>
      </c>
      <c r="W49" s="3">
        <v>0.0</v>
      </c>
      <c r="X49" s="3">
        <v>0.0</v>
      </c>
      <c r="Y49" s="3">
        <v>0.0</v>
      </c>
      <c r="Z49" s="3">
        <v>0.0</v>
      </c>
      <c r="AA49" s="3">
        <v>0.0</v>
      </c>
      <c r="AB49" s="3">
        <v>0.0</v>
      </c>
      <c r="AC49" s="3">
        <v>0.0</v>
      </c>
      <c r="AD49" s="3" t="s">
        <v>303</v>
      </c>
      <c r="AE49" s="5" t="s">
        <v>96</v>
      </c>
      <c r="AF49" s="5">
        <v>0.5</v>
      </c>
      <c r="AG49" s="3" t="s">
        <v>97</v>
      </c>
      <c r="AH49" s="3">
        <v>1.0</v>
      </c>
      <c r="AI49" s="3" t="s">
        <v>779</v>
      </c>
      <c r="AJ49" s="5" t="s">
        <v>99</v>
      </c>
      <c r="AK49" s="5">
        <v>1.0</v>
      </c>
      <c r="AL49" s="3" t="s">
        <v>780</v>
      </c>
      <c r="AM49" s="5" t="s">
        <v>101</v>
      </c>
      <c r="AN49" s="5">
        <v>0.75</v>
      </c>
      <c r="AO49" s="3" t="s">
        <v>97</v>
      </c>
      <c r="AP49" s="3">
        <v>1.0</v>
      </c>
      <c r="AQ49" s="3" t="s">
        <v>781</v>
      </c>
      <c r="AR49" s="5" t="s">
        <v>103</v>
      </c>
      <c r="AS49" s="3">
        <v>1.0</v>
      </c>
      <c r="AT49" s="3" t="s">
        <v>782</v>
      </c>
      <c r="AU49" s="5" t="s">
        <v>104</v>
      </c>
      <c r="AV49" s="5">
        <v>0.75</v>
      </c>
      <c r="AW49" s="3" t="s">
        <v>783</v>
      </c>
      <c r="AX49" s="5" t="s">
        <v>106</v>
      </c>
      <c r="AY49" s="5">
        <v>0.0</v>
      </c>
      <c r="AZ49" s="3" t="s">
        <v>784</v>
      </c>
      <c r="BA49" s="5" t="s">
        <v>108</v>
      </c>
      <c r="BB49" s="5">
        <v>1.0</v>
      </c>
      <c r="BC49" s="3" t="s">
        <v>109</v>
      </c>
      <c r="BD49" s="5" t="s">
        <v>110</v>
      </c>
      <c r="BE49" s="3">
        <v>1.0</v>
      </c>
      <c r="BF49" s="3" t="s">
        <v>785</v>
      </c>
      <c r="BG49" s="5" t="s">
        <v>112</v>
      </c>
      <c r="BH49" s="5">
        <v>1.0</v>
      </c>
      <c r="BI49" s="3" t="s">
        <v>105</v>
      </c>
      <c r="BJ49" s="5" t="s">
        <v>114</v>
      </c>
      <c r="BK49" s="5">
        <v>1.0</v>
      </c>
      <c r="BL49" s="3" t="s">
        <v>115</v>
      </c>
      <c r="BM49" s="5" t="s">
        <v>116</v>
      </c>
      <c r="BN49" s="5">
        <v>1.0</v>
      </c>
      <c r="BO49" s="3" t="s">
        <v>117</v>
      </c>
      <c r="BP49" s="3"/>
      <c r="BQ49" s="3">
        <v>1.0</v>
      </c>
      <c r="BR49" s="3" t="s">
        <v>161</v>
      </c>
      <c r="BS49" s="5" t="s">
        <v>119</v>
      </c>
      <c r="BT49" s="5">
        <v>1.0</v>
      </c>
      <c r="BU49" s="3" t="s">
        <v>786</v>
      </c>
      <c r="BV49" s="5" t="s">
        <v>121</v>
      </c>
      <c r="BW49" s="5">
        <v>0.5</v>
      </c>
      <c r="BX49" s="3" t="s">
        <v>787</v>
      </c>
      <c r="BY49" s="5" t="s">
        <v>123</v>
      </c>
      <c r="BZ49" s="5">
        <v>0.75</v>
      </c>
      <c r="CA49" s="3" t="s">
        <v>97</v>
      </c>
      <c r="CB49" s="3" t="s">
        <v>788</v>
      </c>
      <c r="CC49" s="3" t="s">
        <v>97</v>
      </c>
      <c r="CD49" s="3" t="s">
        <v>125</v>
      </c>
      <c r="CE49" s="3" t="s">
        <v>789</v>
      </c>
      <c r="CF49" s="3" t="s">
        <v>97</v>
      </c>
      <c r="CG49" s="3" t="s">
        <v>790</v>
      </c>
      <c r="CH49" s="3">
        <v>6.0</v>
      </c>
    </row>
    <row r="50" ht="14.25" customHeight="1">
      <c r="A50" s="3">
        <v>44728.2702139236</v>
      </c>
      <c r="B50" s="3" t="s">
        <v>149</v>
      </c>
      <c r="C50" s="3">
        <f t="shared" si="1"/>
        <v>0</v>
      </c>
      <c r="D50" s="3" t="s">
        <v>393</v>
      </c>
      <c r="E50" s="3" t="s">
        <v>394</v>
      </c>
      <c r="F50" s="3">
        <f t="shared" si="2"/>
        <v>0</v>
      </c>
      <c r="G50" s="3" t="s">
        <v>791</v>
      </c>
      <c r="H50" s="3" t="s">
        <v>792</v>
      </c>
      <c r="I50" s="3">
        <v>3.0</v>
      </c>
      <c r="J50" s="3" t="s">
        <v>91</v>
      </c>
      <c r="K50" s="3">
        <f t="shared" si="3"/>
        <v>1</v>
      </c>
      <c r="L50" s="3" t="s">
        <v>133</v>
      </c>
      <c r="M50" s="3">
        <f t="shared" si="4"/>
        <v>0</v>
      </c>
      <c r="N50" s="4"/>
      <c r="O50" s="3" t="s">
        <v>93</v>
      </c>
      <c r="P50" s="3" t="s">
        <v>94</v>
      </c>
      <c r="Q50" s="3">
        <v>0.0</v>
      </c>
      <c r="R50" s="3">
        <v>0.0</v>
      </c>
      <c r="S50" s="3">
        <v>0.0</v>
      </c>
      <c r="T50" s="3">
        <v>0.0</v>
      </c>
      <c r="U50" s="3">
        <v>0.0</v>
      </c>
      <c r="V50" s="3">
        <v>0.0</v>
      </c>
      <c r="W50" s="3">
        <v>0.0</v>
      </c>
      <c r="X50" s="3">
        <v>0.0</v>
      </c>
      <c r="Y50" s="3">
        <v>0.0</v>
      </c>
      <c r="Z50" s="3">
        <v>0.0</v>
      </c>
      <c r="AA50" s="3">
        <v>1.0</v>
      </c>
      <c r="AB50" s="3">
        <v>0.0</v>
      </c>
      <c r="AC50" s="3">
        <v>0.0</v>
      </c>
      <c r="AD50" s="3" t="s">
        <v>793</v>
      </c>
      <c r="AE50" s="5" t="s">
        <v>96</v>
      </c>
      <c r="AF50" s="5">
        <v>0.75</v>
      </c>
      <c r="AG50" s="3" t="s">
        <v>97</v>
      </c>
      <c r="AH50" s="3">
        <v>1.0</v>
      </c>
      <c r="AI50" s="3" t="s">
        <v>794</v>
      </c>
      <c r="AJ50" s="5" t="s">
        <v>99</v>
      </c>
      <c r="AK50" s="5">
        <v>1.0</v>
      </c>
      <c r="AL50" s="3" t="s">
        <v>795</v>
      </c>
      <c r="AM50" s="5" t="s">
        <v>101</v>
      </c>
      <c r="AN50" s="5">
        <v>1.0</v>
      </c>
      <c r="AO50" s="3" t="s">
        <v>97</v>
      </c>
      <c r="AP50" s="3">
        <v>1.0</v>
      </c>
      <c r="AQ50" s="3" t="s">
        <v>796</v>
      </c>
      <c r="AR50" s="5" t="s">
        <v>103</v>
      </c>
      <c r="AS50" s="3">
        <v>1.0</v>
      </c>
      <c r="AT50" s="3" t="s">
        <v>94</v>
      </c>
      <c r="AU50" s="5" t="s">
        <v>104</v>
      </c>
      <c r="AV50" s="5">
        <v>1.0</v>
      </c>
      <c r="AW50" s="3" t="s">
        <v>797</v>
      </c>
      <c r="AX50" s="5" t="s">
        <v>106</v>
      </c>
      <c r="AY50" s="5">
        <v>0.0</v>
      </c>
      <c r="AZ50" s="3" t="s">
        <v>798</v>
      </c>
      <c r="BA50" s="5" t="s">
        <v>108</v>
      </c>
      <c r="BB50" s="5">
        <v>0.75</v>
      </c>
      <c r="BC50" s="3" t="s">
        <v>109</v>
      </c>
      <c r="BD50" s="5" t="s">
        <v>110</v>
      </c>
      <c r="BE50" s="3">
        <v>1.0</v>
      </c>
      <c r="BF50" s="3" t="s">
        <v>799</v>
      </c>
      <c r="BG50" s="5" t="s">
        <v>112</v>
      </c>
      <c r="BH50" s="5">
        <v>1.0</v>
      </c>
      <c r="BI50" s="3" t="s">
        <v>800</v>
      </c>
      <c r="BJ50" s="5" t="s">
        <v>114</v>
      </c>
      <c r="BK50" s="5">
        <v>1.0</v>
      </c>
      <c r="BL50" s="3" t="s">
        <v>115</v>
      </c>
      <c r="BM50" s="5" t="s">
        <v>116</v>
      </c>
      <c r="BN50" s="5">
        <v>1.0</v>
      </c>
      <c r="BO50" s="3" t="s">
        <v>211</v>
      </c>
      <c r="BP50" s="3"/>
      <c r="BQ50" s="3">
        <v>1.0</v>
      </c>
      <c r="BR50" s="3" t="s">
        <v>747</v>
      </c>
      <c r="BS50" s="5" t="s">
        <v>119</v>
      </c>
      <c r="BT50" s="5">
        <v>0.75</v>
      </c>
      <c r="BU50" s="3" t="s">
        <v>801</v>
      </c>
      <c r="BV50" s="5" t="s">
        <v>121</v>
      </c>
      <c r="BW50" s="5">
        <v>0.75</v>
      </c>
      <c r="BX50" s="3" t="s">
        <v>802</v>
      </c>
      <c r="BY50" s="5" t="s">
        <v>123</v>
      </c>
      <c r="BZ50" s="5">
        <v>0.5</v>
      </c>
      <c r="CA50" s="3" t="s">
        <v>97</v>
      </c>
      <c r="CB50" s="3" t="s">
        <v>803</v>
      </c>
      <c r="CC50" s="3" t="s">
        <v>97</v>
      </c>
      <c r="CD50" s="3" t="s">
        <v>125</v>
      </c>
      <c r="CE50" s="3" t="s">
        <v>804</v>
      </c>
      <c r="CF50" s="3" t="s">
        <v>97</v>
      </c>
      <c r="CG50" s="3" t="s">
        <v>805</v>
      </c>
      <c r="CH50" s="3">
        <v>6.0</v>
      </c>
    </row>
    <row r="51" ht="14.25" customHeight="1">
      <c r="A51" s="3">
        <v>44728.2852012963</v>
      </c>
      <c r="B51" s="3" t="s">
        <v>86</v>
      </c>
      <c r="C51" s="3">
        <f t="shared" si="1"/>
        <v>1</v>
      </c>
      <c r="D51" s="3" t="s">
        <v>87</v>
      </c>
      <c r="E51" s="3" t="s">
        <v>88</v>
      </c>
      <c r="F51" s="3">
        <f t="shared" si="2"/>
        <v>1</v>
      </c>
      <c r="G51" s="3" t="s">
        <v>130</v>
      </c>
      <c r="H51" s="3" t="s">
        <v>131</v>
      </c>
      <c r="I51" s="3">
        <v>1.0</v>
      </c>
      <c r="J51" s="3" t="s">
        <v>132</v>
      </c>
      <c r="K51" s="3">
        <f t="shared" si="3"/>
        <v>0</v>
      </c>
      <c r="L51" s="3" t="s">
        <v>133</v>
      </c>
      <c r="M51" s="3">
        <f t="shared" si="4"/>
        <v>0</v>
      </c>
      <c r="N51" s="4"/>
      <c r="O51" s="3" t="s">
        <v>93</v>
      </c>
      <c r="P51" s="3" t="s">
        <v>25</v>
      </c>
      <c r="Q51" s="3">
        <v>0.0</v>
      </c>
      <c r="R51" s="3">
        <v>0.0</v>
      </c>
      <c r="S51" s="3">
        <v>0.0</v>
      </c>
      <c r="T51" s="3">
        <v>0.0</v>
      </c>
      <c r="U51" s="3">
        <v>0.0</v>
      </c>
      <c r="V51" s="3">
        <v>0.0</v>
      </c>
      <c r="W51" s="3">
        <v>0.0</v>
      </c>
      <c r="X51" s="3">
        <v>0.0</v>
      </c>
      <c r="Y51" s="3">
        <v>0.0</v>
      </c>
      <c r="Z51" s="3">
        <v>1.0</v>
      </c>
      <c r="AA51" s="3">
        <v>0.0</v>
      </c>
      <c r="AB51" s="3">
        <v>0.0</v>
      </c>
      <c r="AC51" s="3">
        <v>0.0</v>
      </c>
      <c r="AD51" s="3" t="s">
        <v>806</v>
      </c>
      <c r="AE51" s="5" t="s">
        <v>96</v>
      </c>
      <c r="AF51" s="5">
        <v>0.25</v>
      </c>
      <c r="AG51" s="3" t="s">
        <v>97</v>
      </c>
      <c r="AH51" s="3">
        <v>1.0</v>
      </c>
      <c r="AI51" s="3" t="s">
        <v>807</v>
      </c>
      <c r="AJ51" s="5" t="s">
        <v>99</v>
      </c>
      <c r="AK51" s="5">
        <v>1.0</v>
      </c>
      <c r="AL51" s="3" t="s">
        <v>808</v>
      </c>
      <c r="AM51" s="5" t="s">
        <v>101</v>
      </c>
      <c r="AN51" s="5">
        <v>0.5</v>
      </c>
      <c r="AO51" s="3" t="s">
        <v>97</v>
      </c>
      <c r="AP51" s="3">
        <v>1.0</v>
      </c>
      <c r="AQ51" s="3" t="s">
        <v>809</v>
      </c>
      <c r="AR51" s="5" t="s">
        <v>103</v>
      </c>
      <c r="AS51" s="5">
        <v>1.0</v>
      </c>
      <c r="AT51" s="3" t="s">
        <v>555</v>
      </c>
      <c r="AU51" s="5" t="s">
        <v>104</v>
      </c>
      <c r="AV51" s="5">
        <v>1.0</v>
      </c>
      <c r="AW51" s="3" t="s">
        <v>810</v>
      </c>
      <c r="AX51" s="5" t="s">
        <v>106</v>
      </c>
      <c r="AY51" s="5">
        <v>0.25</v>
      </c>
      <c r="AZ51" s="3" t="s">
        <v>811</v>
      </c>
      <c r="BA51" s="5" t="s">
        <v>108</v>
      </c>
      <c r="BB51" s="5">
        <v>0.75</v>
      </c>
      <c r="BC51" s="3" t="s">
        <v>109</v>
      </c>
      <c r="BD51" s="5" t="s">
        <v>110</v>
      </c>
      <c r="BE51" s="3">
        <v>1.0</v>
      </c>
      <c r="BF51" s="3" t="s">
        <v>812</v>
      </c>
      <c r="BG51" s="5" t="s">
        <v>112</v>
      </c>
      <c r="BH51" s="5">
        <v>0.0</v>
      </c>
      <c r="BI51" s="3" t="s">
        <v>813</v>
      </c>
      <c r="BJ51" s="5" t="s">
        <v>114</v>
      </c>
      <c r="BK51" s="5">
        <v>0.75</v>
      </c>
      <c r="BL51" s="3" t="s">
        <v>115</v>
      </c>
      <c r="BM51" s="5" t="s">
        <v>116</v>
      </c>
      <c r="BN51" s="5">
        <v>1.0</v>
      </c>
      <c r="BO51" s="3" t="s">
        <v>160</v>
      </c>
      <c r="BP51" s="3"/>
      <c r="BQ51" s="3">
        <v>0.0</v>
      </c>
      <c r="BR51" s="3" t="s">
        <v>181</v>
      </c>
      <c r="BS51" s="5" t="s">
        <v>119</v>
      </c>
      <c r="BT51" s="5">
        <v>1.0</v>
      </c>
      <c r="BU51" s="3" t="s">
        <v>814</v>
      </c>
      <c r="BV51" s="5" t="s">
        <v>121</v>
      </c>
      <c r="BW51" s="5">
        <v>0.0</v>
      </c>
      <c r="BX51" s="3" t="s">
        <v>815</v>
      </c>
      <c r="BY51" s="5" t="s">
        <v>123</v>
      </c>
      <c r="BZ51" s="5">
        <v>0.5</v>
      </c>
      <c r="CA51" s="3" t="s">
        <v>97</v>
      </c>
      <c r="CB51" s="3" t="s">
        <v>816</v>
      </c>
      <c r="CC51" s="3" t="s">
        <v>97</v>
      </c>
      <c r="CD51" s="3" t="s">
        <v>165</v>
      </c>
      <c r="CE51" s="3" t="s">
        <v>817</v>
      </c>
      <c r="CF51" s="3" t="s">
        <v>167</v>
      </c>
      <c r="CG51" s="3" t="s">
        <v>818</v>
      </c>
      <c r="CH51" s="3">
        <v>3.0</v>
      </c>
    </row>
    <row r="52" ht="14.25" customHeight="1">
      <c r="A52" s="3">
        <v>44728.7024862616</v>
      </c>
      <c r="B52" s="3" t="s">
        <v>86</v>
      </c>
      <c r="C52" s="3">
        <f t="shared" si="1"/>
        <v>1</v>
      </c>
      <c r="D52" s="3" t="s">
        <v>393</v>
      </c>
      <c r="E52" s="3" t="s">
        <v>394</v>
      </c>
      <c r="F52" s="3">
        <f t="shared" si="2"/>
        <v>0</v>
      </c>
      <c r="G52" s="3" t="s">
        <v>130</v>
      </c>
      <c r="H52" s="3" t="s">
        <v>217</v>
      </c>
      <c r="I52" s="3">
        <v>3.0</v>
      </c>
      <c r="J52" s="3" t="s">
        <v>91</v>
      </c>
      <c r="K52" s="3">
        <f t="shared" si="3"/>
        <v>1</v>
      </c>
      <c r="L52" s="3" t="s">
        <v>133</v>
      </c>
      <c r="M52" s="3">
        <f t="shared" si="4"/>
        <v>0</v>
      </c>
      <c r="N52" s="4"/>
      <c r="O52" s="3" t="s">
        <v>93</v>
      </c>
      <c r="P52" s="3" t="s">
        <v>94</v>
      </c>
      <c r="Q52" s="3">
        <v>0.0</v>
      </c>
      <c r="R52" s="3">
        <v>0.0</v>
      </c>
      <c r="S52" s="3">
        <v>0.0</v>
      </c>
      <c r="T52" s="3">
        <v>0.0</v>
      </c>
      <c r="U52" s="3">
        <v>0.0</v>
      </c>
      <c r="V52" s="3">
        <v>0.0</v>
      </c>
      <c r="W52" s="3">
        <v>0.0</v>
      </c>
      <c r="X52" s="3">
        <v>0.0</v>
      </c>
      <c r="Y52" s="3">
        <v>0.0</v>
      </c>
      <c r="Z52" s="3">
        <v>0.0</v>
      </c>
      <c r="AA52" s="3">
        <v>1.0</v>
      </c>
      <c r="AB52" s="3">
        <v>0.0</v>
      </c>
      <c r="AC52" s="3">
        <v>0.0</v>
      </c>
      <c r="AD52" s="3" t="s">
        <v>819</v>
      </c>
      <c r="AE52" s="5" t="s">
        <v>96</v>
      </c>
      <c r="AF52" s="5">
        <v>0.5</v>
      </c>
      <c r="AG52" s="3" t="s">
        <v>97</v>
      </c>
      <c r="AH52" s="3">
        <v>1.0</v>
      </c>
      <c r="AI52" s="3" t="s">
        <v>820</v>
      </c>
      <c r="AJ52" s="5" t="s">
        <v>99</v>
      </c>
      <c r="AK52" s="5">
        <v>1.0</v>
      </c>
      <c r="AL52" s="3" t="s">
        <v>821</v>
      </c>
      <c r="AM52" s="5" t="s">
        <v>101</v>
      </c>
      <c r="AN52" s="5">
        <v>0.75</v>
      </c>
      <c r="AO52" s="3" t="s">
        <v>97</v>
      </c>
      <c r="AP52" s="3">
        <v>1.0</v>
      </c>
      <c r="AQ52" s="3" t="s">
        <v>822</v>
      </c>
      <c r="AR52" s="5" t="s">
        <v>103</v>
      </c>
      <c r="AS52" s="3">
        <v>1.0</v>
      </c>
      <c r="AT52" s="3" t="s">
        <v>94</v>
      </c>
      <c r="AU52" s="5" t="s">
        <v>104</v>
      </c>
      <c r="AV52" s="5">
        <v>1.0</v>
      </c>
      <c r="AW52" s="3" t="s">
        <v>823</v>
      </c>
      <c r="AX52" s="5" t="s">
        <v>106</v>
      </c>
      <c r="AY52" s="5">
        <v>0.0</v>
      </c>
      <c r="AZ52" s="3" t="s">
        <v>824</v>
      </c>
      <c r="BA52" s="5" t="s">
        <v>108</v>
      </c>
      <c r="BB52" s="5">
        <v>0.75</v>
      </c>
      <c r="BC52" s="3" t="s">
        <v>109</v>
      </c>
      <c r="BD52" s="5" t="s">
        <v>110</v>
      </c>
      <c r="BE52" s="3">
        <v>1.0</v>
      </c>
      <c r="BF52" s="3" t="s">
        <v>825</v>
      </c>
      <c r="BG52" s="5" t="s">
        <v>112</v>
      </c>
      <c r="BH52" s="5">
        <v>0.75</v>
      </c>
      <c r="BI52" s="3" t="s">
        <v>826</v>
      </c>
      <c r="BJ52" s="5" t="s">
        <v>114</v>
      </c>
      <c r="BK52" s="5">
        <v>1.0</v>
      </c>
      <c r="BL52" s="3" t="s">
        <v>115</v>
      </c>
      <c r="BM52" s="5" t="s">
        <v>116</v>
      </c>
      <c r="BN52" s="5">
        <v>1.0</v>
      </c>
      <c r="BO52" s="3" t="s">
        <v>211</v>
      </c>
      <c r="BP52" s="3"/>
      <c r="BQ52" s="3">
        <v>1.0</v>
      </c>
      <c r="BR52" s="3" t="s">
        <v>297</v>
      </c>
      <c r="BS52" s="5" t="s">
        <v>119</v>
      </c>
      <c r="BT52" s="5">
        <v>0.5</v>
      </c>
      <c r="BU52" s="3" t="s">
        <v>827</v>
      </c>
      <c r="BV52" s="5" t="s">
        <v>121</v>
      </c>
      <c r="BW52" s="5">
        <v>0.5</v>
      </c>
      <c r="BX52" s="3" t="s">
        <v>828</v>
      </c>
      <c r="BY52" s="5" t="s">
        <v>123</v>
      </c>
      <c r="BZ52" s="5">
        <v>0.75</v>
      </c>
      <c r="CA52" s="3" t="s">
        <v>97</v>
      </c>
      <c r="CB52" s="3" t="s">
        <v>829</v>
      </c>
      <c r="CC52" s="3" t="s">
        <v>97</v>
      </c>
      <c r="CD52" s="3" t="s">
        <v>125</v>
      </c>
      <c r="CE52" s="3" t="s">
        <v>830</v>
      </c>
      <c r="CF52" s="3" t="s">
        <v>97</v>
      </c>
      <c r="CG52" s="3" t="s">
        <v>831</v>
      </c>
      <c r="CH52" s="3">
        <v>6.0</v>
      </c>
    </row>
    <row r="53" ht="14.25" customHeight="1">
      <c r="A53" s="3">
        <v>44728.7112367708</v>
      </c>
      <c r="B53" s="3" t="s">
        <v>149</v>
      </c>
      <c r="C53" s="3">
        <f t="shared" si="1"/>
        <v>0</v>
      </c>
      <c r="D53" s="3" t="s">
        <v>393</v>
      </c>
      <c r="E53" s="3" t="s">
        <v>394</v>
      </c>
      <c r="F53" s="3">
        <f t="shared" si="2"/>
        <v>0</v>
      </c>
      <c r="G53" s="3" t="s">
        <v>150</v>
      </c>
      <c r="H53" s="3" t="s">
        <v>217</v>
      </c>
      <c r="I53" s="3">
        <v>3.0</v>
      </c>
      <c r="J53" s="3" t="s">
        <v>91</v>
      </c>
      <c r="K53" s="3">
        <f t="shared" si="3"/>
        <v>1</v>
      </c>
      <c r="L53" s="3" t="s">
        <v>133</v>
      </c>
      <c r="M53" s="3">
        <f t="shared" si="4"/>
        <v>0</v>
      </c>
      <c r="N53" s="4"/>
      <c r="O53" s="3" t="s">
        <v>93</v>
      </c>
      <c r="P53" s="3" t="s">
        <v>725</v>
      </c>
      <c r="Q53" s="3">
        <v>1.0</v>
      </c>
      <c r="R53" s="3">
        <v>0.0</v>
      </c>
      <c r="S53" s="3">
        <v>0.0</v>
      </c>
      <c r="T53" s="3">
        <v>0.0</v>
      </c>
      <c r="U53" s="3">
        <v>0.0</v>
      </c>
      <c r="V53" s="3">
        <v>1.0</v>
      </c>
      <c r="W53" s="3">
        <v>0.0</v>
      </c>
      <c r="X53" s="3">
        <v>0.0</v>
      </c>
      <c r="Y53" s="3">
        <v>0.0</v>
      </c>
      <c r="Z53" s="3">
        <v>0.0</v>
      </c>
      <c r="AA53" s="3">
        <v>0.0</v>
      </c>
      <c r="AB53" s="3">
        <v>0.0</v>
      </c>
      <c r="AC53" s="3">
        <v>0.0</v>
      </c>
      <c r="AD53" s="3" t="s">
        <v>832</v>
      </c>
      <c r="AE53" s="5" t="s">
        <v>96</v>
      </c>
      <c r="AF53" s="5">
        <v>0.25</v>
      </c>
      <c r="AG53" s="3" t="s">
        <v>97</v>
      </c>
      <c r="AH53" s="3">
        <v>1.0</v>
      </c>
      <c r="AI53" s="3" t="s">
        <v>833</v>
      </c>
      <c r="AJ53" s="5" t="s">
        <v>99</v>
      </c>
      <c r="AK53" s="5">
        <v>1.0</v>
      </c>
      <c r="AL53" s="3" t="s">
        <v>834</v>
      </c>
      <c r="AM53" s="5" t="s">
        <v>101</v>
      </c>
      <c r="AN53" s="5">
        <v>0.5</v>
      </c>
      <c r="AO53" s="3" t="s">
        <v>97</v>
      </c>
      <c r="AP53" s="3">
        <v>1.0</v>
      </c>
      <c r="AQ53" s="3" t="s">
        <v>835</v>
      </c>
      <c r="AR53" s="5" t="s">
        <v>103</v>
      </c>
      <c r="AS53" s="3">
        <v>1.0</v>
      </c>
      <c r="AT53" s="3" t="s">
        <v>94</v>
      </c>
      <c r="AU53" s="5" t="s">
        <v>104</v>
      </c>
      <c r="AV53" s="5">
        <v>1.0</v>
      </c>
      <c r="AW53" s="3" t="s">
        <v>836</v>
      </c>
      <c r="AX53" s="5" t="s">
        <v>106</v>
      </c>
      <c r="AY53" s="5">
        <v>0.5</v>
      </c>
      <c r="AZ53" s="3" t="s">
        <v>837</v>
      </c>
      <c r="BA53" s="5" t="s">
        <v>108</v>
      </c>
      <c r="BB53" s="5">
        <v>0.75</v>
      </c>
      <c r="BC53" s="3" t="s">
        <v>109</v>
      </c>
      <c r="BD53" s="5" t="s">
        <v>110</v>
      </c>
      <c r="BE53" s="3">
        <v>1.0</v>
      </c>
      <c r="BF53" s="3" t="s">
        <v>838</v>
      </c>
      <c r="BG53" s="5" t="s">
        <v>112</v>
      </c>
      <c r="BH53" s="5">
        <v>0.75</v>
      </c>
      <c r="BI53" s="3" t="s">
        <v>839</v>
      </c>
      <c r="BJ53" s="5" t="s">
        <v>114</v>
      </c>
      <c r="BK53" s="5">
        <v>1.0</v>
      </c>
      <c r="BL53" s="3" t="s">
        <v>115</v>
      </c>
      <c r="BM53" s="5" t="s">
        <v>116</v>
      </c>
      <c r="BN53" s="5">
        <v>1.0</v>
      </c>
      <c r="BO53" s="3" t="s">
        <v>117</v>
      </c>
      <c r="BP53" s="3"/>
      <c r="BQ53" s="3">
        <v>1.0</v>
      </c>
      <c r="BR53" s="3" t="s">
        <v>161</v>
      </c>
      <c r="BS53" s="5" t="s">
        <v>119</v>
      </c>
      <c r="BT53" s="5">
        <v>1.0</v>
      </c>
      <c r="BU53" s="3" t="s">
        <v>840</v>
      </c>
      <c r="BV53" s="5" t="s">
        <v>121</v>
      </c>
      <c r="BW53" s="5">
        <v>0.75</v>
      </c>
      <c r="BX53" s="3" t="s">
        <v>841</v>
      </c>
      <c r="BY53" s="5" t="s">
        <v>123</v>
      </c>
      <c r="BZ53" s="5">
        <v>0.75</v>
      </c>
      <c r="CA53" s="3" t="s">
        <v>97</v>
      </c>
      <c r="CB53" s="3" t="s">
        <v>842</v>
      </c>
      <c r="CC53" s="3" t="s">
        <v>97</v>
      </c>
      <c r="CD53" s="3" t="s">
        <v>125</v>
      </c>
      <c r="CE53" s="3" t="s">
        <v>823</v>
      </c>
      <c r="CF53" s="3" t="s">
        <v>97</v>
      </c>
      <c r="CG53" s="3" t="s">
        <v>843</v>
      </c>
      <c r="CH53" s="3">
        <v>6.0</v>
      </c>
    </row>
    <row r="54" ht="14.25" customHeight="1">
      <c r="A54" s="3">
        <v>44728.7231610185</v>
      </c>
      <c r="B54" s="3" t="s">
        <v>86</v>
      </c>
      <c r="C54" s="3">
        <f t="shared" si="1"/>
        <v>1</v>
      </c>
      <c r="D54" s="3" t="s">
        <v>128</v>
      </c>
      <c r="E54" s="3" t="s">
        <v>129</v>
      </c>
      <c r="F54" s="3">
        <f t="shared" si="2"/>
        <v>3</v>
      </c>
      <c r="G54" s="3" t="s">
        <v>130</v>
      </c>
      <c r="H54" s="3" t="s">
        <v>202</v>
      </c>
      <c r="I54" s="3">
        <v>1.0</v>
      </c>
      <c r="J54" s="3" t="s">
        <v>91</v>
      </c>
      <c r="K54" s="3">
        <f t="shared" si="3"/>
        <v>1</v>
      </c>
      <c r="L54" s="3" t="s">
        <v>133</v>
      </c>
      <c r="M54" s="3">
        <f t="shared" si="4"/>
        <v>0</v>
      </c>
      <c r="N54" s="4"/>
      <c r="O54" s="3" t="s">
        <v>93</v>
      </c>
      <c r="P54" s="3" t="s">
        <v>16</v>
      </c>
      <c r="Q54" s="3">
        <v>1.0</v>
      </c>
      <c r="R54" s="3">
        <v>0.0</v>
      </c>
      <c r="S54" s="3">
        <v>0.0</v>
      </c>
      <c r="T54" s="3">
        <v>0.0</v>
      </c>
      <c r="U54" s="3">
        <v>0.0</v>
      </c>
      <c r="V54" s="3">
        <v>0.0</v>
      </c>
      <c r="W54" s="3">
        <v>0.0</v>
      </c>
      <c r="X54" s="3">
        <v>0.0</v>
      </c>
      <c r="Y54" s="3">
        <v>0.0</v>
      </c>
      <c r="Z54" s="3">
        <v>0.0</v>
      </c>
      <c r="AA54" s="3">
        <v>0.0</v>
      </c>
      <c r="AB54" s="3">
        <v>0.0</v>
      </c>
      <c r="AC54" s="3">
        <v>0.0</v>
      </c>
      <c r="AD54" s="3" t="s">
        <v>844</v>
      </c>
      <c r="AE54" s="5" t="s">
        <v>96</v>
      </c>
      <c r="AF54" s="5">
        <v>0.5</v>
      </c>
      <c r="AG54" s="3" t="s">
        <v>97</v>
      </c>
      <c r="AH54" s="3">
        <v>1.0</v>
      </c>
      <c r="AI54" s="3" t="s">
        <v>845</v>
      </c>
      <c r="AJ54" s="5" t="s">
        <v>99</v>
      </c>
      <c r="AK54" s="5">
        <v>1.0</v>
      </c>
      <c r="AL54" s="3" t="s">
        <v>846</v>
      </c>
      <c r="AM54" s="5" t="s">
        <v>101</v>
      </c>
      <c r="AN54" s="5">
        <v>0.75</v>
      </c>
      <c r="AO54" s="3" t="s">
        <v>97</v>
      </c>
      <c r="AP54" s="3">
        <v>1.0</v>
      </c>
      <c r="AQ54" s="3" t="s">
        <v>847</v>
      </c>
      <c r="AR54" s="5" t="s">
        <v>103</v>
      </c>
      <c r="AS54" s="5">
        <v>1.0</v>
      </c>
      <c r="AT54" s="3" t="s">
        <v>848</v>
      </c>
      <c r="AU54" s="5" t="s">
        <v>104</v>
      </c>
      <c r="AV54" s="5">
        <v>1.0</v>
      </c>
      <c r="AW54" s="3" t="s">
        <v>105</v>
      </c>
      <c r="AX54" s="5" t="s">
        <v>106</v>
      </c>
      <c r="AY54" s="5">
        <v>0.0</v>
      </c>
      <c r="AZ54" s="3" t="s">
        <v>849</v>
      </c>
      <c r="BA54" s="5" t="s">
        <v>108</v>
      </c>
      <c r="BB54" s="5">
        <v>0.75</v>
      </c>
      <c r="BC54" s="3" t="s">
        <v>109</v>
      </c>
      <c r="BD54" s="5" t="s">
        <v>110</v>
      </c>
      <c r="BE54" s="3">
        <v>1.0</v>
      </c>
      <c r="BF54" s="3" t="s">
        <v>850</v>
      </c>
      <c r="BG54" s="5" t="s">
        <v>112</v>
      </c>
      <c r="BH54" s="5">
        <v>0.75</v>
      </c>
      <c r="BI54" s="3" t="s">
        <v>851</v>
      </c>
      <c r="BJ54" s="5" t="s">
        <v>114</v>
      </c>
      <c r="BK54" s="5">
        <v>1.0</v>
      </c>
      <c r="BL54" s="3" t="s">
        <v>115</v>
      </c>
      <c r="BM54" s="5" t="s">
        <v>116</v>
      </c>
      <c r="BN54" s="5">
        <v>1.0</v>
      </c>
      <c r="BO54" s="3" t="s">
        <v>117</v>
      </c>
      <c r="BP54" s="3"/>
      <c r="BQ54" s="3">
        <v>1.0</v>
      </c>
      <c r="BR54" s="3" t="s">
        <v>181</v>
      </c>
      <c r="BS54" s="5" t="s">
        <v>119</v>
      </c>
      <c r="BT54" s="5">
        <v>1.0</v>
      </c>
      <c r="BU54" s="3" t="s">
        <v>852</v>
      </c>
      <c r="BV54" s="5" t="s">
        <v>121</v>
      </c>
      <c r="BW54" s="5">
        <v>0.5</v>
      </c>
      <c r="BX54" s="3" t="s">
        <v>853</v>
      </c>
      <c r="BY54" s="5" t="s">
        <v>123</v>
      </c>
      <c r="BZ54" s="5">
        <v>0.5</v>
      </c>
      <c r="CA54" s="3" t="s">
        <v>97</v>
      </c>
      <c r="CB54" s="3" t="s">
        <v>854</v>
      </c>
      <c r="CC54" s="3" t="s">
        <v>97</v>
      </c>
      <c r="CD54" s="3" t="s">
        <v>125</v>
      </c>
      <c r="CE54" s="3" t="s">
        <v>855</v>
      </c>
      <c r="CF54" s="3" t="s">
        <v>97</v>
      </c>
      <c r="CG54" s="3" t="s">
        <v>856</v>
      </c>
      <c r="CH54" s="3">
        <v>5.0</v>
      </c>
    </row>
    <row r="55" ht="14.25" customHeight="1">
      <c r="A55" s="3">
        <v>44728.7286177199</v>
      </c>
      <c r="B55" s="3" t="s">
        <v>86</v>
      </c>
      <c r="C55" s="3">
        <f t="shared" si="1"/>
        <v>1</v>
      </c>
      <c r="D55" s="3" t="s">
        <v>87</v>
      </c>
      <c r="E55" s="3" t="s">
        <v>88</v>
      </c>
      <c r="F55" s="3">
        <f t="shared" si="2"/>
        <v>1</v>
      </c>
      <c r="G55" s="3" t="s">
        <v>130</v>
      </c>
      <c r="H55" s="3" t="s">
        <v>564</v>
      </c>
      <c r="I55" s="3">
        <v>2.0</v>
      </c>
      <c r="J55" s="3" t="s">
        <v>91</v>
      </c>
      <c r="K55" s="3">
        <f t="shared" si="3"/>
        <v>1</v>
      </c>
      <c r="L55" s="3" t="s">
        <v>133</v>
      </c>
      <c r="M55" s="3">
        <f t="shared" si="4"/>
        <v>0</v>
      </c>
      <c r="N55" s="4"/>
      <c r="O55" s="3" t="s">
        <v>93</v>
      </c>
      <c r="P55" s="3" t="s">
        <v>25</v>
      </c>
      <c r="Q55" s="3">
        <v>0.0</v>
      </c>
      <c r="R55" s="3">
        <v>0.0</v>
      </c>
      <c r="S55" s="3">
        <v>0.0</v>
      </c>
      <c r="T55" s="3">
        <v>0.0</v>
      </c>
      <c r="U55" s="3">
        <v>0.0</v>
      </c>
      <c r="V55" s="3">
        <v>0.0</v>
      </c>
      <c r="W55" s="3">
        <v>0.0</v>
      </c>
      <c r="X55" s="3">
        <v>0.0</v>
      </c>
      <c r="Y55" s="3">
        <v>0.0</v>
      </c>
      <c r="Z55" s="3">
        <v>1.0</v>
      </c>
      <c r="AA55" s="3">
        <v>0.0</v>
      </c>
      <c r="AB55" s="3">
        <v>0.0</v>
      </c>
      <c r="AC55" s="3">
        <v>0.0</v>
      </c>
      <c r="AD55" s="3" t="s">
        <v>857</v>
      </c>
      <c r="AE55" s="5" t="s">
        <v>96</v>
      </c>
      <c r="AF55" s="5">
        <v>0.25</v>
      </c>
      <c r="AG55" s="3" t="s">
        <v>167</v>
      </c>
      <c r="AH55" s="3">
        <v>0.0</v>
      </c>
      <c r="AI55" s="3" t="s">
        <v>858</v>
      </c>
      <c r="AJ55" s="5" t="s">
        <v>99</v>
      </c>
      <c r="AK55" s="5">
        <v>1.0</v>
      </c>
      <c r="AL55" s="3" t="s">
        <v>859</v>
      </c>
      <c r="AM55" s="5" t="s">
        <v>101</v>
      </c>
      <c r="AN55" s="5">
        <v>0.25</v>
      </c>
      <c r="AO55" s="3" t="s">
        <v>97</v>
      </c>
      <c r="AP55" s="3">
        <v>1.0</v>
      </c>
      <c r="AQ55" s="3" t="s">
        <v>860</v>
      </c>
      <c r="AR55" s="5" t="s">
        <v>103</v>
      </c>
      <c r="AS55" s="3">
        <v>1.0</v>
      </c>
      <c r="AT55" s="3" t="s">
        <v>861</v>
      </c>
      <c r="AU55" s="5" t="s">
        <v>104</v>
      </c>
      <c r="AV55" s="5">
        <v>0.75</v>
      </c>
      <c r="AW55" s="3" t="s">
        <v>862</v>
      </c>
      <c r="AX55" s="5" t="s">
        <v>106</v>
      </c>
      <c r="AY55" s="5">
        <v>0.25</v>
      </c>
      <c r="AZ55" s="3" t="s">
        <v>863</v>
      </c>
      <c r="BA55" s="5" t="s">
        <v>108</v>
      </c>
      <c r="BB55" s="5">
        <v>0.5</v>
      </c>
      <c r="BC55" s="3" t="s">
        <v>109</v>
      </c>
      <c r="BD55" s="5" t="s">
        <v>110</v>
      </c>
      <c r="BE55" s="3">
        <v>1.0</v>
      </c>
      <c r="BF55" s="3" t="s">
        <v>761</v>
      </c>
      <c r="BG55" s="5" t="s">
        <v>112</v>
      </c>
      <c r="BH55" s="5">
        <v>0.0</v>
      </c>
      <c r="BI55" s="3" t="s">
        <v>105</v>
      </c>
      <c r="BJ55" s="5" t="s">
        <v>114</v>
      </c>
      <c r="BK55" s="5">
        <v>1.0</v>
      </c>
      <c r="BL55" s="3" t="s">
        <v>115</v>
      </c>
      <c r="BM55" s="5" t="s">
        <v>116</v>
      </c>
      <c r="BN55" s="5">
        <v>1.0</v>
      </c>
      <c r="BO55" s="3" t="s">
        <v>117</v>
      </c>
      <c r="BP55" s="3"/>
      <c r="BQ55" s="3">
        <v>1.0</v>
      </c>
      <c r="BR55" s="3" t="s">
        <v>118</v>
      </c>
      <c r="BS55" s="5" t="s">
        <v>119</v>
      </c>
      <c r="BT55" s="5">
        <v>0.5</v>
      </c>
      <c r="BU55" s="3" t="s">
        <v>864</v>
      </c>
      <c r="BV55" s="5" t="s">
        <v>121</v>
      </c>
      <c r="BW55" s="5">
        <v>0.5</v>
      </c>
      <c r="BX55" s="3" t="s">
        <v>865</v>
      </c>
      <c r="BY55" s="5" t="s">
        <v>123</v>
      </c>
      <c r="BZ55" s="5">
        <v>0.5</v>
      </c>
      <c r="CA55" s="3" t="s">
        <v>97</v>
      </c>
      <c r="CB55" s="3" t="s">
        <v>866</v>
      </c>
      <c r="CC55" s="3" t="s">
        <v>97</v>
      </c>
      <c r="CD55" s="3" t="s">
        <v>125</v>
      </c>
      <c r="CE55" s="3" t="s">
        <v>823</v>
      </c>
      <c r="CF55" s="3" t="s">
        <v>167</v>
      </c>
      <c r="CG55" s="3" t="s">
        <v>867</v>
      </c>
      <c r="CH55" s="3">
        <v>5.0</v>
      </c>
    </row>
    <row r="56" ht="14.25" customHeight="1">
      <c r="A56" s="3">
        <v>44730.7706830556</v>
      </c>
      <c r="B56" s="3" t="s">
        <v>149</v>
      </c>
      <c r="C56" s="3">
        <f t="shared" si="1"/>
        <v>0</v>
      </c>
      <c r="D56" s="3" t="s">
        <v>169</v>
      </c>
      <c r="E56" s="3" t="s">
        <v>170</v>
      </c>
      <c r="F56" s="3">
        <f t="shared" si="2"/>
        <v>2</v>
      </c>
      <c r="G56" s="3" t="s">
        <v>287</v>
      </c>
      <c r="H56" s="3" t="s">
        <v>217</v>
      </c>
      <c r="I56" s="3">
        <v>3.0</v>
      </c>
      <c r="J56" s="3" t="s">
        <v>91</v>
      </c>
      <c r="K56" s="3">
        <f t="shared" si="3"/>
        <v>1</v>
      </c>
      <c r="L56" s="3" t="s">
        <v>133</v>
      </c>
      <c r="M56" s="3">
        <f t="shared" si="4"/>
        <v>0</v>
      </c>
      <c r="N56" s="4"/>
      <c r="O56" s="3" t="s">
        <v>93</v>
      </c>
      <c r="P56" s="3" t="s">
        <v>16</v>
      </c>
      <c r="Q56" s="3">
        <v>1.0</v>
      </c>
      <c r="R56" s="3">
        <v>0.0</v>
      </c>
      <c r="S56" s="3">
        <v>0.0</v>
      </c>
      <c r="T56" s="3">
        <v>0.0</v>
      </c>
      <c r="U56" s="3">
        <v>0.0</v>
      </c>
      <c r="V56" s="3">
        <v>0.0</v>
      </c>
      <c r="W56" s="3">
        <v>0.0</v>
      </c>
      <c r="X56" s="3">
        <v>0.0</v>
      </c>
      <c r="Y56" s="3">
        <v>0.0</v>
      </c>
      <c r="Z56" s="3">
        <v>0.0</v>
      </c>
      <c r="AA56" s="3">
        <v>0.0</v>
      </c>
      <c r="AB56" s="3">
        <v>0.0</v>
      </c>
      <c r="AC56" s="3">
        <v>0.0</v>
      </c>
      <c r="AD56" s="3" t="s">
        <v>868</v>
      </c>
      <c r="AE56" s="5" t="s">
        <v>96</v>
      </c>
      <c r="AF56" s="5">
        <v>0.5</v>
      </c>
      <c r="AG56" s="3" t="s">
        <v>97</v>
      </c>
      <c r="AH56" s="3">
        <v>1.0</v>
      </c>
      <c r="AI56" s="3" t="s">
        <v>869</v>
      </c>
      <c r="AJ56" s="5" t="s">
        <v>99</v>
      </c>
      <c r="AK56" s="5">
        <v>1.0</v>
      </c>
      <c r="AL56" s="3" t="s">
        <v>870</v>
      </c>
      <c r="AM56" s="5" t="s">
        <v>101</v>
      </c>
      <c r="AN56" s="5">
        <v>0.25</v>
      </c>
      <c r="AO56" s="3" t="s">
        <v>97</v>
      </c>
      <c r="AP56" s="3">
        <v>1.0</v>
      </c>
      <c r="AQ56" s="3" t="s">
        <v>871</v>
      </c>
      <c r="AR56" s="5" t="s">
        <v>103</v>
      </c>
      <c r="AS56" s="3">
        <v>1.0</v>
      </c>
      <c r="AT56" s="3" t="s">
        <v>94</v>
      </c>
      <c r="AU56" s="5" t="s">
        <v>104</v>
      </c>
      <c r="AV56" s="5">
        <v>1.0</v>
      </c>
      <c r="AW56" s="3" t="s">
        <v>872</v>
      </c>
      <c r="AX56" s="5" t="s">
        <v>106</v>
      </c>
      <c r="AY56" s="5">
        <v>0.25</v>
      </c>
      <c r="AZ56" s="3" t="s">
        <v>873</v>
      </c>
      <c r="BA56" s="5" t="s">
        <v>108</v>
      </c>
      <c r="BB56" s="5">
        <v>0.75</v>
      </c>
      <c r="BC56" s="3" t="s">
        <v>109</v>
      </c>
      <c r="BD56" s="5" t="s">
        <v>110</v>
      </c>
      <c r="BE56" s="3">
        <v>1.0</v>
      </c>
      <c r="BF56" s="3" t="s">
        <v>874</v>
      </c>
      <c r="BG56" s="5" t="s">
        <v>112</v>
      </c>
      <c r="BH56" s="5">
        <v>0.75</v>
      </c>
      <c r="BI56" s="3" t="s">
        <v>875</v>
      </c>
      <c r="BJ56" s="5" t="s">
        <v>114</v>
      </c>
      <c r="BK56" s="5">
        <v>1.0</v>
      </c>
      <c r="BL56" s="3" t="s">
        <v>115</v>
      </c>
      <c r="BM56" s="5" t="s">
        <v>116</v>
      </c>
      <c r="BN56" s="5">
        <v>1.0</v>
      </c>
      <c r="BO56" s="3" t="s">
        <v>117</v>
      </c>
      <c r="BP56" s="3"/>
      <c r="BQ56" s="3">
        <v>1.0</v>
      </c>
      <c r="BR56" s="3" t="s">
        <v>161</v>
      </c>
      <c r="BS56" s="5" t="s">
        <v>119</v>
      </c>
      <c r="BT56" s="5">
        <v>1.0</v>
      </c>
      <c r="BU56" s="3" t="s">
        <v>876</v>
      </c>
      <c r="BV56" s="5" t="s">
        <v>121</v>
      </c>
      <c r="BW56" s="5">
        <v>0.25</v>
      </c>
      <c r="BX56" s="3" t="s">
        <v>877</v>
      </c>
      <c r="BY56" s="5" t="s">
        <v>123</v>
      </c>
      <c r="BZ56" s="5">
        <v>0.5</v>
      </c>
      <c r="CA56" s="3" t="s">
        <v>97</v>
      </c>
      <c r="CB56" s="3" t="s">
        <v>878</v>
      </c>
      <c r="CC56" s="3" t="s">
        <v>97</v>
      </c>
      <c r="CD56" s="3" t="s">
        <v>125</v>
      </c>
      <c r="CE56" s="3" t="s">
        <v>879</v>
      </c>
      <c r="CF56" s="3" t="s">
        <v>97</v>
      </c>
      <c r="CG56" s="3" t="s">
        <v>880</v>
      </c>
      <c r="CH56" s="3">
        <v>7.0</v>
      </c>
    </row>
    <row r="57" ht="14.25" customHeight="1">
      <c r="A57" s="3">
        <v>44731.7604330903</v>
      </c>
      <c r="B57" s="3" t="s">
        <v>149</v>
      </c>
      <c r="C57" s="3">
        <f t="shared" si="1"/>
        <v>0</v>
      </c>
      <c r="D57" s="3" t="s">
        <v>169</v>
      </c>
      <c r="E57" s="3" t="s">
        <v>170</v>
      </c>
      <c r="F57" s="3">
        <f t="shared" si="2"/>
        <v>2</v>
      </c>
      <c r="G57" s="3" t="s">
        <v>881</v>
      </c>
      <c r="H57" s="3" t="s">
        <v>151</v>
      </c>
      <c r="I57" s="3">
        <v>2.0</v>
      </c>
      <c r="J57" s="3" t="s">
        <v>91</v>
      </c>
      <c r="K57" s="3">
        <f t="shared" si="3"/>
        <v>1</v>
      </c>
      <c r="L57" s="3" t="s">
        <v>133</v>
      </c>
      <c r="M57" s="3">
        <f t="shared" si="4"/>
        <v>0</v>
      </c>
      <c r="N57" s="4"/>
      <c r="O57" s="3" t="s">
        <v>93</v>
      </c>
      <c r="P57" s="3" t="s">
        <v>882</v>
      </c>
      <c r="Q57" s="3">
        <v>1.0</v>
      </c>
      <c r="R57" s="3">
        <v>0.0</v>
      </c>
      <c r="S57" s="3">
        <v>1.0</v>
      </c>
      <c r="T57" s="3">
        <v>0.0</v>
      </c>
      <c r="U57" s="3">
        <v>0.0</v>
      </c>
      <c r="V57" s="3">
        <v>1.0</v>
      </c>
      <c r="W57" s="3">
        <v>0.0</v>
      </c>
      <c r="X57" s="3">
        <v>0.0</v>
      </c>
      <c r="Y57" s="3">
        <v>0.0</v>
      </c>
      <c r="Z57" s="3">
        <v>1.0</v>
      </c>
      <c r="AA57" s="3">
        <v>0.0</v>
      </c>
      <c r="AB57" s="3">
        <v>0.0</v>
      </c>
      <c r="AC57" s="3">
        <v>0.0</v>
      </c>
      <c r="AD57" s="3" t="s">
        <v>883</v>
      </c>
      <c r="AE57" s="5" t="s">
        <v>96</v>
      </c>
      <c r="AF57" s="5">
        <v>0.5</v>
      </c>
      <c r="AG57" s="3" t="s">
        <v>167</v>
      </c>
      <c r="AH57" s="3">
        <v>0.0</v>
      </c>
      <c r="AI57" s="3" t="s">
        <v>858</v>
      </c>
      <c r="AJ57" s="5" t="s">
        <v>99</v>
      </c>
      <c r="AK57" s="5">
        <v>1.0</v>
      </c>
      <c r="AL57" s="3" t="s">
        <v>884</v>
      </c>
      <c r="AM57" s="5" t="s">
        <v>101</v>
      </c>
      <c r="AN57" s="5">
        <v>0.5</v>
      </c>
      <c r="AO57" s="3" t="s">
        <v>167</v>
      </c>
      <c r="AP57" s="3">
        <v>0.0</v>
      </c>
      <c r="AQ57" s="3" t="s">
        <v>885</v>
      </c>
      <c r="AR57" s="5" t="s">
        <v>103</v>
      </c>
      <c r="AS57" s="3">
        <v>0.0</v>
      </c>
      <c r="AT57" s="3" t="s">
        <v>94</v>
      </c>
      <c r="AU57" s="5" t="s">
        <v>104</v>
      </c>
      <c r="AV57" s="5">
        <v>1.0</v>
      </c>
      <c r="AW57" s="3" t="s">
        <v>886</v>
      </c>
      <c r="AX57" s="5" t="s">
        <v>106</v>
      </c>
      <c r="AY57" s="5">
        <v>0.25</v>
      </c>
      <c r="AZ57" s="3" t="s">
        <v>887</v>
      </c>
      <c r="BA57" s="5" t="s">
        <v>108</v>
      </c>
      <c r="BB57" s="5">
        <v>0.25</v>
      </c>
      <c r="BC57" s="3" t="s">
        <v>109</v>
      </c>
      <c r="BD57" s="5" t="s">
        <v>110</v>
      </c>
      <c r="BE57" s="3">
        <v>1.0</v>
      </c>
      <c r="BF57" s="3" t="s">
        <v>888</v>
      </c>
      <c r="BG57" s="5" t="s">
        <v>112</v>
      </c>
      <c r="BH57" s="5">
        <v>0.0</v>
      </c>
      <c r="BI57" s="3" t="s">
        <v>889</v>
      </c>
      <c r="BJ57" s="5" t="s">
        <v>114</v>
      </c>
      <c r="BK57" s="5">
        <v>0.5</v>
      </c>
      <c r="BL57" s="3" t="s">
        <v>115</v>
      </c>
      <c r="BM57" s="5" t="s">
        <v>116</v>
      </c>
      <c r="BN57" s="5">
        <v>1.0</v>
      </c>
      <c r="BO57" s="3" t="s">
        <v>160</v>
      </c>
      <c r="BP57" s="3"/>
      <c r="BQ57" s="3">
        <v>0.0</v>
      </c>
      <c r="BR57" s="3" t="s">
        <v>181</v>
      </c>
      <c r="BS57" s="5" t="s">
        <v>119</v>
      </c>
      <c r="BT57" s="5">
        <v>1.0</v>
      </c>
      <c r="BU57" s="3" t="s">
        <v>890</v>
      </c>
      <c r="BV57" s="5" t="s">
        <v>121</v>
      </c>
      <c r="BW57" s="5">
        <v>0.25</v>
      </c>
      <c r="BX57" s="3" t="s">
        <v>891</v>
      </c>
      <c r="BY57" s="5" t="s">
        <v>123</v>
      </c>
      <c r="BZ57" s="5">
        <v>0.25</v>
      </c>
      <c r="CA57" s="3" t="s">
        <v>97</v>
      </c>
      <c r="CB57" s="3" t="s">
        <v>892</v>
      </c>
      <c r="CC57" s="3" t="s">
        <v>167</v>
      </c>
      <c r="CD57" s="3" t="s">
        <v>231</v>
      </c>
      <c r="CE57" s="3" t="s">
        <v>549</v>
      </c>
      <c r="CF57" s="3" t="s">
        <v>167</v>
      </c>
      <c r="CG57" s="3" t="s">
        <v>893</v>
      </c>
      <c r="CH57" s="3">
        <v>1.0</v>
      </c>
    </row>
    <row r="58" ht="14.25" customHeight="1">
      <c r="A58" s="3">
        <v>44731.7657530324</v>
      </c>
      <c r="B58" s="3" t="s">
        <v>86</v>
      </c>
      <c r="C58" s="3">
        <f t="shared" si="1"/>
        <v>1</v>
      </c>
      <c r="D58" s="3" t="s">
        <v>169</v>
      </c>
      <c r="E58" s="3" t="s">
        <v>170</v>
      </c>
      <c r="F58" s="3">
        <f t="shared" si="2"/>
        <v>2</v>
      </c>
      <c r="G58" s="3" t="s">
        <v>724</v>
      </c>
      <c r="H58" s="3" t="s">
        <v>259</v>
      </c>
      <c r="I58" s="3">
        <v>1.0</v>
      </c>
      <c r="J58" s="3" t="s">
        <v>91</v>
      </c>
      <c r="K58" s="3">
        <f t="shared" si="3"/>
        <v>1</v>
      </c>
      <c r="L58" s="3" t="s">
        <v>133</v>
      </c>
      <c r="M58" s="3">
        <f t="shared" si="4"/>
        <v>0</v>
      </c>
      <c r="N58" s="4"/>
      <c r="O58" s="3" t="s">
        <v>93</v>
      </c>
      <c r="P58" s="3" t="s">
        <v>894</v>
      </c>
      <c r="Q58" s="3">
        <v>1.0</v>
      </c>
      <c r="R58" s="3">
        <v>0.0</v>
      </c>
      <c r="S58" s="3">
        <v>1.0</v>
      </c>
      <c r="T58" s="3">
        <v>0.0</v>
      </c>
      <c r="U58" s="3">
        <v>0.0</v>
      </c>
      <c r="V58" s="3">
        <v>0.0</v>
      </c>
      <c r="W58" s="3">
        <v>0.0</v>
      </c>
      <c r="X58" s="3">
        <v>0.0</v>
      </c>
      <c r="Y58" s="3">
        <v>0.0</v>
      </c>
      <c r="Z58" s="3">
        <v>1.0</v>
      </c>
      <c r="AA58" s="3">
        <v>0.0</v>
      </c>
      <c r="AB58" s="3">
        <v>0.0</v>
      </c>
      <c r="AC58" s="3">
        <v>0.0</v>
      </c>
      <c r="AD58" s="3" t="s">
        <v>895</v>
      </c>
      <c r="AE58" s="5" t="s">
        <v>96</v>
      </c>
      <c r="AF58" s="5">
        <v>0.75</v>
      </c>
      <c r="AG58" s="3" t="s">
        <v>97</v>
      </c>
      <c r="AH58" s="3">
        <v>1.0</v>
      </c>
      <c r="AI58" s="3" t="s">
        <v>896</v>
      </c>
      <c r="AJ58" s="5" t="s">
        <v>99</v>
      </c>
      <c r="AK58" s="5">
        <v>0.0</v>
      </c>
      <c r="AL58" s="3" t="s">
        <v>897</v>
      </c>
      <c r="AM58" s="5" t="s">
        <v>101</v>
      </c>
      <c r="AN58" s="5">
        <v>0.5</v>
      </c>
      <c r="AO58" s="3" t="s">
        <v>167</v>
      </c>
      <c r="AP58" s="3">
        <v>0.0</v>
      </c>
      <c r="AQ58" s="3" t="s">
        <v>898</v>
      </c>
      <c r="AR58" s="5" t="s">
        <v>103</v>
      </c>
      <c r="AS58" s="3">
        <v>0.0</v>
      </c>
      <c r="AT58" s="3" t="s">
        <v>94</v>
      </c>
      <c r="AU58" s="5" t="s">
        <v>104</v>
      </c>
      <c r="AV58" s="5">
        <v>1.0</v>
      </c>
      <c r="AW58" s="3" t="s">
        <v>899</v>
      </c>
      <c r="AX58" s="5" t="s">
        <v>106</v>
      </c>
      <c r="AY58" s="5">
        <v>0.25</v>
      </c>
      <c r="AZ58" s="3" t="s">
        <v>900</v>
      </c>
      <c r="BA58" s="5" t="s">
        <v>108</v>
      </c>
      <c r="BB58" s="5">
        <v>0.25</v>
      </c>
      <c r="BC58" s="3" t="s">
        <v>109</v>
      </c>
      <c r="BD58" s="5" t="s">
        <v>110</v>
      </c>
      <c r="BE58" s="3">
        <v>1.0</v>
      </c>
      <c r="BF58" s="3" t="s">
        <v>901</v>
      </c>
      <c r="BG58" s="5" t="s">
        <v>112</v>
      </c>
      <c r="BH58" s="5">
        <v>0.0</v>
      </c>
      <c r="BI58" s="3" t="s">
        <v>902</v>
      </c>
      <c r="BJ58" s="5" t="s">
        <v>114</v>
      </c>
      <c r="BK58" s="5">
        <v>0.5</v>
      </c>
      <c r="BL58" s="3" t="s">
        <v>115</v>
      </c>
      <c r="BM58" s="5" t="s">
        <v>116</v>
      </c>
      <c r="BN58" s="5">
        <v>1.0</v>
      </c>
      <c r="BO58" s="3" t="s">
        <v>160</v>
      </c>
      <c r="BP58" s="3"/>
      <c r="BQ58" s="3">
        <v>0.0</v>
      </c>
      <c r="BR58" s="3" t="s">
        <v>181</v>
      </c>
      <c r="BS58" s="5" t="s">
        <v>119</v>
      </c>
      <c r="BT58" s="5">
        <v>1.0</v>
      </c>
      <c r="BU58" s="3" t="s">
        <v>903</v>
      </c>
      <c r="BV58" s="5" t="s">
        <v>121</v>
      </c>
      <c r="BW58" s="5">
        <v>0.25</v>
      </c>
      <c r="BX58" s="3" t="s">
        <v>904</v>
      </c>
      <c r="BY58" s="5" t="s">
        <v>123</v>
      </c>
      <c r="BZ58" s="5">
        <v>0.25</v>
      </c>
      <c r="CA58" s="3" t="s">
        <v>97</v>
      </c>
      <c r="CB58" s="3" t="s">
        <v>905</v>
      </c>
      <c r="CC58" s="3" t="s">
        <v>97</v>
      </c>
      <c r="CD58" s="3" t="s">
        <v>199</v>
      </c>
      <c r="CE58" s="3" t="s">
        <v>823</v>
      </c>
      <c r="CF58" s="3" t="s">
        <v>167</v>
      </c>
      <c r="CG58" s="3" t="s">
        <v>906</v>
      </c>
      <c r="CH58" s="3">
        <v>2.0</v>
      </c>
    </row>
    <row r="59" ht="14.25" customHeight="1">
      <c r="A59" s="3">
        <v>44731.772618669</v>
      </c>
      <c r="B59" s="3" t="s">
        <v>86</v>
      </c>
      <c r="C59" s="3">
        <f t="shared" si="1"/>
        <v>1</v>
      </c>
      <c r="D59" s="3" t="s">
        <v>169</v>
      </c>
      <c r="E59" s="3" t="s">
        <v>170</v>
      </c>
      <c r="F59" s="3">
        <f t="shared" si="2"/>
        <v>2</v>
      </c>
      <c r="G59" s="3" t="s">
        <v>724</v>
      </c>
      <c r="H59" s="3" t="s">
        <v>202</v>
      </c>
      <c r="I59" s="3">
        <v>1.0</v>
      </c>
      <c r="J59" s="3" t="s">
        <v>132</v>
      </c>
      <c r="K59" s="3">
        <f t="shared" si="3"/>
        <v>0</v>
      </c>
      <c r="L59" s="3" t="s">
        <v>133</v>
      </c>
      <c r="M59" s="3">
        <f t="shared" si="4"/>
        <v>0</v>
      </c>
      <c r="N59" s="4"/>
      <c r="O59" s="3" t="s">
        <v>93</v>
      </c>
      <c r="P59" s="3" t="s">
        <v>16</v>
      </c>
      <c r="Q59" s="3">
        <v>1.0</v>
      </c>
      <c r="R59" s="3">
        <v>0.0</v>
      </c>
      <c r="S59" s="3">
        <v>0.0</v>
      </c>
      <c r="T59" s="3">
        <v>0.0</v>
      </c>
      <c r="U59" s="3">
        <v>0.0</v>
      </c>
      <c r="V59" s="3">
        <v>0.0</v>
      </c>
      <c r="W59" s="3">
        <v>0.0</v>
      </c>
      <c r="X59" s="3">
        <v>0.0</v>
      </c>
      <c r="Y59" s="3">
        <v>0.0</v>
      </c>
      <c r="Z59" s="3">
        <v>0.0</v>
      </c>
      <c r="AA59" s="3">
        <v>0.0</v>
      </c>
      <c r="AB59" s="3">
        <v>0.0</v>
      </c>
      <c r="AC59" s="3">
        <v>0.0</v>
      </c>
      <c r="AD59" s="3" t="s">
        <v>907</v>
      </c>
      <c r="AE59" s="5" t="s">
        <v>96</v>
      </c>
      <c r="AF59" s="5">
        <v>0.25</v>
      </c>
      <c r="AG59" s="3" t="s">
        <v>97</v>
      </c>
      <c r="AH59" s="3">
        <v>1.0</v>
      </c>
      <c r="AI59" s="3" t="s">
        <v>908</v>
      </c>
      <c r="AJ59" s="5" t="s">
        <v>99</v>
      </c>
      <c r="AK59" s="5">
        <v>1.0</v>
      </c>
      <c r="AL59" s="3" t="s">
        <v>909</v>
      </c>
      <c r="AM59" s="5" t="s">
        <v>101</v>
      </c>
      <c r="AN59" s="5">
        <v>0.5</v>
      </c>
      <c r="AO59" s="3" t="s">
        <v>97</v>
      </c>
      <c r="AP59" s="3">
        <v>1.0</v>
      </c>
      <c r="AQ59" s="3" t="s">
        <v>910</v>
      </c>
      <c r="AR59" s="5" t="s">
        <v>103</v>
      </c>
      <c r="AS59" s="3">
        <v>1.0</v>
      </c>
      <c r="AT59" s="3" t="s">
        <v>782</v>
      </c>
      <c r="AU59" s="5" t="s">
        <v>104</v>
      </c>
      <c r="AV59" s="5">
        <v>0.75</v>
      </c>
      <c r="AW59" s="3" t="s">
        <v>911</v>
      </c>
      <c r="AX59" s="5" t="s">
        <v>106</v>
      </c>
      <c r="AY59" s="5">
        <v>0.25</v>
      </c>
      <c r="AZ59" s="3" t="s">
        <v>912</v>
      </c>
      <c r="BA59" s="5" t="s">
        <v>108</v>
      </c>
      <c r="BB59" s="5">
        <v>0.5</v>
      </c>
      <c r="BC59" s="3" t="s">
        <v>109</v>
      </c>
      <c r="BD59" s="5" t="s">
        <v>110</v>
      </c>
      <c r="BE59" s="3">
        <v>1.0</v>
      </c>
      <c r="BF59" s="3" t="s">
        <v>913</v>
      </c>
      <c r="BG59" s="5" t="s">
        <v>112</v>
      </c>
      <c r="BH59" s="5">
        <v>0.5</v>
      </c>
      <c r="BI59" s="3" t="s">
        <v>914</v>
      </c>
      <c r="BJ59" s="5" t="s">
        <v>114</v>
      </c>
      <c r="BK59" s="5">
        <v>0.75</v>
      </c>
      <c r="BL59" s="3" t="s">
        <v>115</v>
      </c>
      <c r="BM59" s="5" t="s">
        <v>116</v>
      </c>
      <c r="BN59" s="5">
        <v>1.0</v>
      </c>
      <c r="BO59" s="3" t="s">
        <v>117</v>
      </c>
      <c r="BP59" s="3"/>
      <c r="BQ59" s="3">
        <v>1.0</v>
      </c>
      <c r="BR59" s="3" t="s">
        <v>181</v>
      </c>
      <c r="BS59" s="5" t="s">
        <v>119</v>
      </c>
      <c r="BT59" s="5">
        <v>1.0</v>
      </c>
      <c r="BU59" s="3" t="s">
        <v>915</v>
      </c>
      <c r="BV59" s="5" t="s">
        <v>121</v>
      </c>
      <c r="BW59" s="5">
        <v>0.75</v>
      </c>
      <c r="BX59" s="3" t="s">
        <v>916</v>
      </c>
      <c r="BY59" s="5" t="s">
        <v>123</v>
      </c>
      <c r="BZ59" s="5">
        <v>0.5</v>
      </c>
      <c r="CA59" s="3" t="s">
        <v>97</v>
      </c>
      <c r="CB59" s="3" t="s">
        <v>917</v>
      </c>
      <c r="CC59" s="3" t="s">
        <v>97</v>
      </c>
      <c r="CD59" s="3" t="s">
        <v>125</v>
      </c>
      <c r="CE59" s="3" t="s">
        <v>126</v>
      </c>
      <c r="CF59" s="3" t="s">
        <v>167</v>
      </c>
      <c r="CG59" s="3" t="s">
        <v>918</v>
      </c>
      <c r="CH59" s="3">
        <v>5.0</v>
      </c>
    </row>
    <row r="60" ht="14.25" customHeight="1">
      <c r="A60" s="3">
        <v>44731.7831047685</v>
      </c>
      <c r="B60" s="3" t="s">
        <v>149</v>
      </c>
      <c r="C60" s="3">
        <f t="shared" si="1"/>
        <v>0</v>
      </c>
      <c r="D60" s="3" t="s">
        <v>128</v>
      </c>
      <c r="E60" s="3" t="s">
        <v>129</v>
      </c>
      <c r="F60" s="3">
        <f t="shared" si="2"/>
        <v>3</v>
      </c>
      <c r="G60" s="3" t="s">
        <v>150</v>
      </c>
      <c r="H60" s="3" t="s">
        <v>448</v>
      </c>
      <c r="I60" s="3">
        <v>1.0</v>
      </c>
      <c r="J60" s="3" t="s">
        <v>91</v>
      </c>
      <c r="K60" s="3">
        <f t="shared" si="3"/>
        <v>1</v>
      </c>
      <c r="L60" s="3" t="s">
        <v>133</v>
      </c>
      <c r="M60" s="3">
        <f t="shared" si="4"/>
        <v>0</v>
      </c>
      <c r="N60" s="4"/>
      <c r="O60" s="3" t="s">
        <v>93</v>
      </c>
      <c r="P60" s="3" t="s">
        <v>343</v>
      </c>
      <c r="Q60" s="3">
        <v>0.0</v>
      </c>
      <c r="R60" s="3">
        <v>1.0</v>
      </c>
      <c r="S60" s="3">
        <v>0.0</v>
      </c>
      <c r="T60" s="3">
        <v>0.0</v>
      </c>
      <c r="U60" s="3">
        <v>0.0</v>
      </c>
      <c r="V60" s="3">
        <v>0.0</v>
      </c>
      <c r="W60" s="3">
        <v>0.0</v>
      </c>
      <c r="X60" s="3">
        <v>0.0</v>
      </c>
      <c r="Y60" s="3">
        <v>0.0</v>
      </c>
      <c r="Z60" s="3">
        <v>0.0</v>
      </c>
      <c r="AA60" s="3">
        <v>0.0</v>
      </c>
      <c r="AB60" s="3">
        <v>0.0</v>
      </c>
      <c r="AC60" s="3">
        <v>0.0</v>
      </c>
      <c r="AD60" s="3" t="s">
        <v>919</v>
      </c>
      <c r="AE60" s="5" t="s">
        <v>96</v>
      </c>
      <c r="AF60" s="5">
        <v>0.25</v>
      </c>
      <c r="AG60" s="3" t="s">
        <v>167</v>
      </c>
      <c r="AH60" s="3">
        <v>0.0</v>
      </c>
      <c r="AI60" s="3" t="s">
        <v>761</v>
      </c>
      <c r="AJ60" s="5" t="s">
        <v>99</v>
      </c>
      <c r="AK60" s="5">
        <v>0.0</v>
      </c>
      <c r="AL60" s="3" t="s">
        <v>920</v>
      </c>
      <c r="AM60" s="5" t="s">
        <v>101</v>
      </c>
      <c r="AN60" s="5">
        <v>0.5</v>
      </c>
      <c r="AO60" s="3" t="s">
        <v>921</v>
      </c>
      <c r="AP60" s="3">
        <v>2.0</v>
      </c>
      <c r="AQ60" s="3" t="s">
        <v>922</v>
      </c>
      <c r="AR60" s="5" t="s">
        <v>103</v>
      </c>
      <c r="AS60" s="3">
        <v>1.0</v>
      </c>
      <c r="AT60" s="3" t="s">
        <v>782</v>
      </c>
      <c r="AU60" s="5" t="s">
        <v>104</v>
      </c>
      <c r="AV60" s="5">
        <v>0.75</v>
      </c>
      <c r="AW60" s="3" t="s">
        <v>923</v>
      </c>
      <c r="AX60" s="5" t="s">
        <v>106</v>
      </c>
      <c r="AY60" s="5">
        <v>0.5</v>
      </c>
      <c r="AZ60" s="3" t="s">
        <v>924</v>
      </c>
      <c r="BA60" s="5" t="s">
        <v>108</v>
      </c>
      <c r="BB60" s="5">
        <v>0.5</v>
      </c>
      <c r="BC60" s="3" t="s">
        <v>109</v>
      </c>
      <c r="BD60" s="5" t="s">
        <v>110</v>
      </c>
      <c r="BE60" s="3">
        <v>1.0</v>
      </c>
      <c r="BF60" s="3" t="s">
        <v>925</v>
      </c>
      <c r="BG60" s="5" t="s">
        <v>112</v>
      </c>
      <c r="BH60" s="5">
        <v>0.5</v>
      </c>
      <c r="BI60" s="3" t="s">
        <v>926</v>
      </c>
      <c r="BJ60" s="5" t="s">
        <v>114</v>
      </c>
      <c r="BK60" s="5">
        <v>1.0</v>
      </c>
      <c r="BL60" s="3" t="s">
        <v>927</v>
      </c>
      <c r="BM60" s="5" t="s">
        <v>116</v>
      </c>
      <c r="BN60" s="5">
        <v>1.0</v>
      </c>
      <c r="BO60" s="3" t="s">
        <v>160</v>
      </c>
      <c r="BP60" s="3"/>
      <c r="BQ60" s="3">
        <v>0.0</v>
      </c>
      <c r="BR60" s="3" t="s">
        <v>161</v>
      </c>
      <c r="BS60" s="5" t="s">
        <v>119</v>
      </c>
      <c r="BT60" s="5">
        <v>1.0</v>
      </c>
      <c r="BU60" s="3" t="s">
        <v>928</v>
      </c>
      <c r="BV60" s="5" t="s">
        <v>121</v>
      </c>
      <c r="BW60" s="5">
        <v>0.25</v>
      </c>
      <c r="BX60" s="3" t="s">
        <v>929</v>
      </c>
      <c r="BY60" s="5" t="s">
        <v>123</v>
      </c>
      <c r="BZ60" s="5">
        <v>0.5</v>
      </c>
      <c r="CA60" s="3" t="s">
        <v>97</v>
      </c>
      <c r="CB60" s="3" t="s">
        <v>930</v>
      </c>
      <c r="CC60" s="3" t="s">
        <v>97</v>
      </c>
      <c r="CD60" s="3" t="s">
        <v>125</v>
      </c>
      <c r="CE60" s="3" t="s">
        <v>931</v>
      </c>
      <c r="CF60" s="3" t="s">
        <v>97</v>
      </c>
      <c r="CG60" s="3" t="s">
        <v>932</v>
      </c>
      <c r="CH60" s="3">
        <v>3.0</v>
      </c>
    </row>
    <row r="61" ht="14.25" customHeight="1">
      <c r="A61" s="3">
        <v>44731.7902463542</v>
      </c>
      <c r="B61" s="3" t="s">
        <v>86</v>
      </c>
      <c r="C61" s="3">
        <f t="shared" si="1"/>
        <v>1</v>
      </c>
      <c r="D61" s="3" t="s">
        <v>128</v>
      </c>
      <c r="E61" s="3" t="s">
        <v>129</v>
      </c>
      <c r="F61" s="3">
        <f t="shared" si="2"/>
        <v>3</v>
      </c>
      <c r="G61" s="3" t="s">
        <v>130</v>
      </c>
      <c r="H61" s="3" t="s">
        <v>448</v>
      </c>
      <c r="I61" s="3">
        <v>1.0</v>
      </c>
      <c r="J61" s="3" t="s">
        <v>91</v>
      </c>
      <c r="K61" s="3">
        <f t="shared" si="3"/>
        <v>1</v>
      </c>
      <c r="L61" s="3" t="s">
        <v>133</v>
      </c>
      <c r="M61" s="3">
        <f t="shared" si="4"/>
        <v>0</v>
      </c>
      <c r="N61" s="4"/>
      <c r="O61" s="3" t="s">
        <v>93</v>
      </c>
      <c r="P61" s="3" t="s">
        <v>25</v>
      </c>
      <c r="Q61" s="3">
        <v>0.0</v>
      </c>
      <c r="R61" s="3">
        <v>0.0</v>
      </c>
      <c r="S61" s="3">
        <v>0.0</v>
      </c>
      <c r="T61" s="3">
        <v>0.0</v>
      </c>
      <c r="U61" s="3">
        <v>0.0</v>
      </c>
      <c r="V61" s="3">
        <v>0.0</v>
      </c>
      <c r="W61" s="3">
        <v>0.0</v>
      </c>
      <c r="X61" s="3">
        <v>0.0</v>
      </c>
      <c r="Y61" s="3">
        <v>0.0</v>
      </c>
      <c r="Z61" s="3">
        <v>1.0</v>
      </c>
      <c r="AA61" s="3">
        <v>0.0</v>
      </c>
      <c r="AB61" s="3">
        <v>0.0</v>
      </c>
      <c r="AC61" s="3">
        <v>0.0</v>
      </c>
      <c r="AD61" s="3" t="s">
        <v>933</v>
      </c>
      <c r="AE61" s="5" t="s">
        <v>96</v>
      </c>
      <c r="AF61" s="5">
        <v>0.25</v>
      </c>
      <c r="AG61" s="3" t="s">
        <v>97</v>
      </c>
      <c r="AH61" s="3">
        <v>1.0</v>
      </c>
      <c r="AI61" s="3" t="s">
        <v>768</v>
      </c>
      <c r="AJ61" s="5" t="s">
        <v>99</v>
      </c>
      <c r="AK61" s="5">
        <v>1.0</v>
      </c>
      <c r="AL61" s="3" t="s">
        <v>397</v>
      </c>
      <c r="AM61" s="5" t="s">
        <v>101</v>
      </c>
      <c r="AN61" s="5">
        <v>0.75</v>
      </c>
      <c r="AO61" s="3" t="s">
        <v>97</v>
      </c>
      <c r="AP61" s="3">
        <v>1.0</v>
      </c>
      <c r="AQ61" s="3" t="s">
        <v>934</v>
      </c>
      <c r="AR61" s="5" t="s">
        <v>103</v>
      </c>
      <c r="AS61" s="3">
        <v>1.0</v>
      </c>
      <c r="AT61" s="3" t="s">
        <v>848</v>
      </c>
      <c r="AU61" s="5" t="s">
        <v>104</v>
      </c>
      <c r="AV61" s="5">
        <v>1.0</v>
      </c>
      <c r="AW61" s="3" t="s">
        <v>935</v>
      </c>
      <c r="AX61" s="5" t="s">
        <v>106</v>
      </c>
      <c r="AY61" s="5">
        <v>0.25</v>
      </c>
      <c r="AZ61" s="3" t="s">
        <v>936</v>
      </c>
      <c r="BA61" s="5" t="s">
        <v>108</v>
      </c>
      <c r="BB61" s="5">
        <v>0.75</v>
      </c>
      <c r="BC61" s="3" t="s">
        <v>109</v>
      </c>
      <c r="BD61" s="5" t="s">
        <v>110</v>
      </c>
      <c r="BE61" s="3">
        <v>1.0</v>
      </c>
      <c r="BF61" s="3" t="s">
        <v>937</v>
      </c>
      <c r="BG61" s="5" t="s">
        <v>112</v>
      </c>
      <c r="BH61" s="5">
        <v>0.5</v>
      </c>
      <c r="BI61" s="3" t="s">
        <v>938</v>
      </c>
      <c r="BJ61" s="5" t="s">
        <v>114</v>
      </c>
      <c r="BK61" s="5">
        <v>0.75</v>
      </c>
      <c r="BL61" s="3" t="s">
        <v>939</v>
      </c>
      <c r="BM61" s="5" t="s">
        <v>116</v>
      </c>
      <c r="BN61" s="5">
        <v>1.0</v>
      </c>
      <c r="BO61" s="3" t="s">
        <v>211</v>
      </c>
      <c r="BP61" s="3"/>
      <c r="BQ61" s="3">
        <v>1.0</v>
      </c>
      <c r="BR61" s="3" t="s">
        <v>161</v>
      </c>
      <c r="BS61" s="5" t="s">
        <v>119</v>
      </c>
      <c r="BT61" s="5">
        <v>1.0</v>
      </c>
      <c r="BU61" s="3" t="s">
        <v>940</v>
      </c>
      <c r="BV61" s="5" t="s">
        <v>121</v>
      </c>
      <c r="BW61" s="5">
        <v>0.5</v>
      </c>
      <c r="BX61" s="3" t="s">
        <v>941</v>
      </c>
      <c r="BY61" s="5" t="s">
        <v>123</v>
      </c>
      <c r="BZ61" s="5">
        <v>0.5</v>
      </c>
      <c r="CA61" s="3" t="s">
        <v>97</v>
      </c>
      <c r="CB61" s="3" t="s">
        <v>942</v>
      </c>
      <c r="CC61" s="3" t="s">
        <v>97</v>
      </c>
      <c r="CD61" s="3" t="s">
        <v>125</v>
      </c>
      <c r="CE61" s="3" t="s">
        <v>651</v>
      </c>
      <c r="CF61" s="3" t="s">
        <v>97</v>
      </c>
      <c r="CG61" s="3" t="s">
        <v>943</v>
      </c>
      <c r="CH61" s="3">
        <v>6.0</v>
      </c>
    </row>
    <row r="62" ht="14.25" customHeight="1">
      <c r="A62" s="3">
        <v>44731.8029173032</v>
      </c>
      <c r="B62" s="3" t="s">
        <v>149</v>
      </c>
      <c r="C62" s="3">
        <f t="shared" si="1"/>
        <v>0</v>
      </c>
      <c r="D62" s="3" t="s">
        <v>393</v>
      </c>
      <c r="E62" s="3" t="s">
        <v>394</v>
      </c>
      <c r="F62" s="3">
        <f t="shared" si="2"/>
        <v>0</v>
      </c>
      <c r="G62" s="3" t="s">
        <v>150</v>
      </c>
      <c r="H62" s="3" t="s">
        <v>448</v>
      </c>
      <c r="I62" s="3">
        <v>1.0</v>
      </c>
      <c r="J62" s="3" t="s">
        <v>132</v>
      </c>
      <c r="K62" s="3">
        <f t="shared" si="3"/>
        <v>0</v>
      </c>
      <c r="L62" s="3" t="s">
        <v>133</v>
      </c>
      <c r="M62" s="3">
        <f t="shared" si="4"/>
        <v>0</v>
      </c>
      <c r="N62" s="4"/>
      <c r="O62" s="3" t="s">
        <v>93</v>
      </c>
      <c r="P62" s="3" t="s">
        <v>25</v>
      </c>
      <c r="Q62" s="3">
        <v>0.0</v>
      </c>
      <c r="R62" s="3">
        <v>0.0</v>
      </c>
      <c r="S62" s="3">
        <v>0.0</v>
      </c>
      <c r="T62" s="3">
        <v>0.0</v>
      </c>
      <c r="U62" s="3">
        <v>0.0</v>
      </c>
      <c r="V62" s="3">
        <v>0.0</v>
      </c>
      <c r="W62" s="3">
        <v>0.0</v>
      </c>
      <c r="X62" s="3">
        <v>0.0</v>
      </c>
      <c r="Y62" s="3">
        <v>0.0</v>
      </c>
      <c r="Z62" s="3">
        <v>1.0</v>
      </c>
      <c r="AA62" s="3">
        <v>0.0</v>
      </c>
      <c r="AB62" s="3">
        <v>0.0</v>
      </c>
      <c r="AC62" s="3">
        <v>0.0</v>
      </c>
      <c r="AD62" s="3" t="s">
        <v>944</v>
      </c>
      <c r="AE62" s="5" t="s">
        <v>96</v>
      </c>
      <c r="AF62" s="5">
        <v>0.5</v>
      </c>
      <c r="AG62" s="3" t="s">
        <v>97</v>
      </c>
      <c r="AH62" s="3">
        <v>1.0</v>
      </c>
      <c r="AI62" s="3" t="s">
        <v>945</v>
      </c>
      <c r="AJ62" s="5" t="s">
        <v>99</v>
      </c>
      <c r="AK62" s="5">
        <v>0.0</v>
      </c>
      <c r="AL62" s="3" t="s">
        <v>946</v>
      </c>
      <c r="AM62" s="5" t="s">
        <v>101</v>
      </c>
      <c r="AN62" s="5">
        <v>0.75</v>
      </c>
      <c r="AO62" s="3" t="s">
        <v>167</v>
      </c>
      <c r="AP62" s="3">
        <v>0.0</v>
      </c>
      <c r="AQ62" s="3" t="s">
        <v>947</v>
      </c>
      <c r="AR62" s="5" t="s">
        <v>103</v>
      </c>
      <c r="AS62" s="3">
        <v>1.0</v>
      </c>
      <c r="AT62" s="3" t="s">
        <v>94</v>
      </c>
      <c r="AU62" s="5" t="s">
        <v>104</v>
      </c>
      <c r="AV62" s="5">
        <v>1.0</v>
      </c>
      <c r="AW62" s="3" t="s">
        <v>948</v>
      </c>
      <c r="AX62" s="5" t="s">
        <v>106</v>
      </c>
      <c r="AY62" s="5">
        <v>0.0</v>
      </c>
      <c r="AZ62" s="3" t="s">
        <v>949</v>
      </c>
      <c r="BA62" s="5" t="s">
        <v>108</v>
      </c>
      <c r="BB62" s="5">
        <v>0.25</v>
      </c>
      <c r="BC62" s="3" t="s">
        <v>109</v>
      </c>
      <c r="BD62" s="5" t="s">
        <v>110</v>
      </c>
      <c r="BE62" s="3">
        <v>1.0</v>
      </c>
      <c r="BF62" s="3" t="s">
        <v>950</v>
      </c>
      <c r="BG62" s="5" t="s">
        <v>112</v>
      </c>
      <c r="BH62" s="5">
        <v>0.75</v>
      </c>
      <c r="BI62" s="3" t="s">
        <v>951</v>
      </c>
      <c r="BJ62" s="5" t="s">
        <v>114</v>
      </c>
      <c r="BK62" s="5">
        <v>0.75</v>
      </c>
      <c r="BL62" s="3" t="s">
        <v>115</v>
      </c>
      <c r="BM62" s="5" t="s">
        <v>116</v>
      </c>
      <c r="BN62" s="5">
        <v>0.75</v>
      </c>
      <c r="BO62" s="3" t="s">
        <v>211</v>
      </c>
      <c r="BP62" s="3"/>
      <c r="BQ62" s="3">
        <v>1.0</v>
      </c>
      <c r="BR62" s="3" t="s">
        <v>181</v>
      </c>
      <c r="BS62" s="5" t="s">
        <v>119</v>
      </c>
      <c r="BT62" s="5">
        <v>1.0</v>
      </c>
      <c r="BU62" s="3" t="s">
        <v>952</v>
      </c>
      <c r="BV62" s="5" t="s">
        <v>121</v>
      </c>
      <c r="BW62" s="5">
        <v>0.25</v>
      </c>
      <c r="BX62" s="3" t="s">
        <v>953</v>
      </c>
      <c r="BY62" s="5" t="s">
        <v>123</v>
      </c>
      <c r="BZ62" s="5">
        <v>0.5</v>
      </c>
      <c r="CA62" s="3" t="s">
        <v>97</v>
      </c>
      <c r="CB62" s="3" t="s">
        <v>954</v>
      </c>
      <c r="CC62" s="3" t="s">
        <v>97</v>
      </c>
      <c r="CD62" s="3" t="s">
        <v>199</v>
      </c>
      <c r="CE62" s="3" t="s">
        <v>955</v>
      </c>
      <c r="CF62" s="3" t="s">
        <v>167</v>
      </c>
      <c r="CG62" s="3" t="s">
        <v>956</v>
      </c>
      <c r="CH62" s="3">
        <v>4.0</v>
      </c>
    </row>
    <row r="63" ht="14.25" customHeight="1">
      <c r="A63" s="3">
        <v>44731.8688734607</v>
      </c>
      <c r="B63" s="3" t="s">
        <v>149</v>
      </c>
      <c r="C63" s="3">
        <f t="shared" si="1"/>
        <v>0</v>
      </c>
      <c r="D63" s="3" t="s">
        <v>393</v>
      </c>
      <c r="E63" s="3" t="s">
        <v>394</v>
      </c>
      <c r="F63" s="3">
        <f t="shared" si="2"/>
        <v>0</v>
      </c>
      <c r="G63" s="3" t="s">
        <v>724</v>
      </c>
      <c r="H63" s="3" t="s">
        <v>259</v>
      </c>
      <c r="I63" s="3">
        <v>1.0</v>
      </c>
      <c r="J63" s="3" t="s">
        <v>132</v>
      </c>
      <c r="K63" s="3">
        <f t="shared" si="3"/>
        <v>0</v>
      </c>
      <c r="L63" s="3" t="s">
        <v>133</v>
      </c>
      <c r="M63" s="3">
        <f t="shared" si="4"/>
        <v>0</v>
      </c>
      <c r="N63" s="4"/>
      <c r="O63" s="3" t="s">
        <v>93</v>
      </c>
      <c r="P63" s="3" t="s">
        <v>957</v>
      </c>
      <c r="Q63" s="3">
        <v>0.0</v>
      </c>
      <c r="R63" s="3">
        <v>0.0</v>
      </c>
      <c r="S63" s="3">
        <v>0.0</v>
      </c>
      <c r="T63" s="3">
        <v>0.0</v>
      </c>
      <c r="U63" s="3">
        <v>0.0</v>
      </c>
      <c r="V63" s="3">
        <v>1.0</v>
      </c>
      <c r="W63" s="3">
        <v>0.0</v>
      </c>
      <c r="X63" s="3">
        <v>0.0</v>
      </c>
      <c r="Y63" s="3">
        <v>0.0</v>
      </c>
      <c r="Z63" s="3">
        <v>1.0</v>
      </c>
      <c r="AA63" s="3">
        <v>0.0</v>
      </c>
      <c r="AB63" s="3">
        <v>0.0</v>
      </c>
      <c r="AC63" s="3">
        <v>0.0</v>
      </c>
      <c r="AD63" s="3" t="s">
        <v>958</v>
      </c>
      <c r="AE63" s="5" t="s">
        <v>96</v>
      </c>
      <c r="AF63" s="5">
        <v>0.5</v>
      </c>
      <c r="AG63" s="3" t="s">
        <v>97</v>
      </c>
      <c r="AH63" s="3">
        <v>1.0</v>
      </c>
      <c r="AI63" s="3" t="s">
        <v>959</v>
      </c>
      <c r="AJ63" s="5" t="s">
        <v>99</v>
      </c>
      <c r="AK63" s="5">
        <v>1.0</v>
      </c>
      <c r="AL63" s="3" t="s">
        <v>960</v>
      </c>
      <c r="AM63" s="5" t="s">
        <v>101</v>
      </c>
      <c r="AN63" s="5">
        <v>0.5</v>
      </c>
      <c r="AO63" s="3" t="s">
        <v>97</v>
      </c>
      <c r="AP63" s="3">
        <v>1.0</v>
      </c>
      <c r="AQ63" s="3" t="s">
        <v>742</v>
      </c>
      <c r="AR63" s="5" t="s">
        <v>103</v>
      </c>
      <c r="AS63" s="3">
        <v>1.0</v>
      </c>
      <c r="AT63" s="3" t="s">
        <v>94</v>
      </c>
      <c r="AU63" s="5" t="s">
        <v>104</v>
      </c>
      <c r="AV63" s="5">
        <v>1.0</v>
      </c>
      <c r="AW63" s="3" t="s">
        <v>810</v>
      </c>
      <c r="AX63" s="5" t="s">
        <v>106</v>
      </c>
      <c r="AY63" s="5">
        <v>0.25</v>
      </c>
      <c r="AZ63" s="3" t="s">
        <v>961</v>
      </c>
      <c r="BA63" s="5" t="s">
        <v>108</v>
      </c>
      <c r="BB63" s="5">
        <v>0.75</v>
      </c>
      <c r="BC63" s="3" t="s">
        <v>109</v>
      </c>
      <c r="BD63" s="5" t="s">
        <v>110</v>
      </c>
      <c r="BE63" s="3">
        <v>1.0</v>
      </c>
      <c r="BF63" s="3" t="s">
        <v>962</v>
      </c>
      <c r="BG63" s="5" t="s">
        <v>112</v>
      </c>
      <c r="BH63" s="5">
        <v>0.5</v>
      </c>
      <c r="BI63" s="3" t="s">
        <v>963</v>
      </c>
      <c r="BJ63" s="5" t="s">
        <v>114</v>
      </c>
      <c r="BK63" s="5">
        <v>0.75</v>
      </c>
      <c r="BL63" s="3" t="s">
        <v>115</v>
      </c>
      <c r="BM63" s="5" t="s">
        <v>116</v>
      </c>
      <c r="BN63" s="5">
        <v>1.0</v>
      </c>
      <c r="BO63" s="3" t="s">
        <v>117</v>
      </c>
      <c r="BP63" s="3"/>
      <c r="BQ63" s="3">
        <v>1.0</v>
      </c>
      <c r="BR63" s="3" t="s">
        <v>161</v>
      </c>
      <c r="BS63" s="5" t="s">
        <v>119</v>
      </c>
      <c r="BT63" s="5">
        <v>1.0</v>
      </c>
      <c r="BU63" s="3" t="s">
        <v>964</v>
      </c>
      <c r="BV63" s="5" t="s">
        <v>121</v>
      </c>
      <c r="BW63" s="5">
        <v>0.25</v>
      </c>
      <c r="BX63" s="3" t="s">
        <v>965</v>
      </c>
      <c r="BY63" s="5" t="s">
        <v>123</v>
      </c>
      <c r="BZ63" s="5">
        <v>0.5</v>
      </c>
      <c r="CA63" s="3" t="s">
        <v>97</v>
      </c>
      <c r="CB63" s="3" t="s">
        <v>966</v>
      </c>
      <c r="CC63" s="3" t="s">
        <v>97</v>
      </c>
      <c r="CD63" s="3" t="s">
        <v>165</v>
      </c>
      <c r="CE63" s="3" t="s">
        <v>967</v>
      </c>
      <c r="CF63" s="3" t="s">
        <v>97</v>
      </c>
      <c r="CG63" s="3" t="s">
        <v>968</v>
      </c>
      <c r="CH63" s="3">
        <v>5.0</v>
      </c>
    </row>
    <row r="64" ht="14.25" customHeight="1">
      <c r="A64" s="3">
        <v>44731.8731701389</v>
      </c>
      <c r="B64" s="3" t="s">
        <v>86</v>
      </c>
      <c r="C64" s="3">
        <f t="shared" si="1"/>
        <v>1</v>
      </c>
      <c r="D64" s="3" t="s">
        <v>393</v>
      </c>
      <c r="E64" s="3" t="s">
        <v>394</v>
      </c>
      <c r="F64" s="3">
        <f t="shared" si="2"/>
        <v>0</v>
      </c>
      <c r="G64" s="3" t="s">
        <v>130</v>
      </c>
      <c r="H64" s="3" t="s">
        <v>217</v>
      </c>
      <c r="I64" s="3">
        <v>3.0</v>
      </c>
      <c r="J64" s="3" t="s">
        <v>91</v>
      </c>
      <c r="K64" s="3">
        <f t="shared" si="3"/>
        <v>1</v>
      </c>
      <c r="L64" s="3" t="s">
        <v>133</v>
      </c>
      <c r="M64" s="3">
        <f t="shared" si="4"/>
        <v>0</v>
      </c>
      <c r="N64" s="4"/>
      <c r="O64" s="3" t="s">
        <v>93</v>
      </c>
      <c r="P64" s="3" t="s">
        <v>94</v>
      </c>
      <c r="Q64" s="3">
        <v>0.0</v>
      </c>
      <c r="R64" s="3">
        <v>0.0</v>
      </c>
      <c r="S64" s="3">
        <v>0.0</v>
      </c>
      <c r="T64" s="3">
        <v>0.0</v>
      </c>
      <c r="U64" s="3">
        <v>0.0</v>
      </c>
      <c r="V64" s="3">
        <v>0.0</v>
      </c>
      <c r="W64" s="3">
        <v>0.0</v>
      </c>
      <c r="X64" s="3">
        <v>0.0</v>
      </c>
      <c r="Y64" s="3">
        <v>0.0</v>
      </c>
      <c r="Z64" s="3">
        <v>0.0</v>
      </c>
      <c r="AA64" s="3">
        <v>1.0</v>
      </c>
      <c r="AB64" s="3">
        <v>0.0</v>
      </c>
      <c r="AC64" s="3">
        <v>0.0</v>
      </c>
      <c r="AD64" s="3" t="s">
        <v>969</v>
      </c>
      <c r="AE64" s="5" t="s">
        <v>96</v>
      </c>
      <c r="AF64" s="5">
        <v>0.5</v>
      </c>
      <c r="AG64" s="3" t="s">
        <v>97</v>
      </c>
      <c r="AH64" s="3">
        <v>1.0</v>
      </c>
      <c r="AI64" s="3" t="s">
        <v>970</v>
      </c>
      <c r="AJ64" s="5" t="s">
        <v>99</v>
      </c>
      <c r="AK64" s="5">
        <v>1.0</v>
      </c>
      <c r="AL64" s="3" t="s">
        <v>821</v>
      </c>
      <c r="AM64" s="5" t="s">
        <v>101</v>
      </c>
      <c r="AN64" s="5">
        <v>0.75</v>
      </c>
      <c r="AO64" s="3" t="s">
        <v>97</v>
      </c>
      <c r="AP64" s="3">
        <v>1.0</v>
      </c>
      <c r="AQ64" s="3" t="s">
        <v>822</v>
      </c>
      <c r="AR64" s="5" t="s">
        <v>103</v>
      </c>
      <c r="AS64" s="3">
        <v>1.0</v>
      </c>
      <c r="AT64" s="3" t="s">
        <v>94</v>
      </c>
      <c r="AU64" s="5" t="s">
        <v>104</v>
      </c>
      <c r="AV64" s="5">
        <v>1.0</v>
      </c>
      <c r="AW64" s="3" t="s">
        <v>971</v>
      </c>
      <c r="AX64" s="5" t="s">
        <v>106</v>
      </c>
      <c r="AY64" s="5">
        <v>0.25</v>
      </c>
      <c r="AZ64" s="3" t="s">
        <v>824</v>
      </c>
      <c r="BA64" s="5" t="s">
        <v>108</v>
      </c>
      <c r="BB64" s="5">
        <v>0.75</v>
      </c>
      <c r="BC64" s="3" t="s">
        <v>109</v>
      </c>
      <c r="BD64" s="5" t="s">
        <v>110</v>
      </c>
      <c r="BE64" s="3">
        <v>1.0</v>
      </c>
      <c r="BF64" s="3" t="s">
        <v>825</v>
      </c>
      <c r="BG64" s="5" t="s">
        <v>112</v>
      </c>
      <c r="BH64" s="5">
        <v>0.75</v>
      </c>
      <c r="BI64" s="3" t="s">
        <v>972</v>
      </c>
      <c r="BJ64" s="5" t="s">
        <v>114</v>
      </c>
      <c r="BK64" s="5">
        <v>1.0</v>
      </c>
      <c r="BL64" s="3" t="s">
        <v>115</v>
      </c>
      <c r="BM64" s="5" t="s">
        <v>116</v>
      </c>
      <c r="BN64" s="5">
        <v>1.0</v>
      </c>
      <c r="BO64" s="3" t="s">
        <v>211</v>
      </c>
      <c r="BP64" s="3"/>
      <c r="BQ64" s="3">
        <v>1.0</v>
      </c>
      <c r="BR64" s="3" t="s">
        <v>297</v>
      </c>
      <c r="BS64" s="5" t="s">
        <v>119</v>
      </c>
      <c r="BT64" s="5">
        <v>0.5</v>
      </c>
      <c r="BU64" s="3" t="s">
        <v>827</v>
      </c>
      <c r="BV64" s="5" t="s">
        <v>121</v>
      </c>
      <c r="BW64" s="5">
        <v>0.5</v>
      </c>
      <c r="BX64" s="3" t="s">
        <v>828</v>
      </c>
      <c r="BY64" s="5" t="s">
        <v>123</v>
      </c>
      <c r="BZ64" s="5">
        <v>0.75</v>
      </c>
      <c r="CA64" s="3" t="s">
        <v>97</v>
      </c>
      <c r="CB64" s="3" t="s">
        <v>973</v>
      </c>
      <c r="CC64" s="3" t="s">
        <v>97</v>
      </c>
      <c r="CD64" s="3" t="s">
        <v>125</v>
      </c>
      <c r="CE64" s="3" t="s">
        <v>830</v>
      </c>
      <c r="CF64" s="3" t="s">
        <v>97</v>
      </c>
      <c r="CG64" s="3" t="s">
        <v>831</v>
      </c>
      <c r="CH64" s="3">
        <v>6.0</v>
      </c>
    </row>
    <row r="65" ht="14.25" customHeight="1">
      <c r="A65" s="3">
        <v>44731.8774234722</v>
      </c>
      <c r="B65" s="3" t="s">
        <v>86</v>
      </c>
      <c r="C65" s="3">
        <f t="shared" si="1"/>
        <v>1</v>
      </c>
      <c r="D65" s="3" t="s">
        <v>169</v>
      </c>
      <c r="E65" s="3" t="s">
        <v>170</v>
      </c>
      <c r="F65" s="3">
        <f t="shared" si="2"/>
        <v>2</v>
      </c>
      <c r="G65" s="3" t="s">
        <v>724</v>
      </c>
      <c r="H65" s="3" t="s">
        <v>151</v>
      </c>
      <c r="I65" s="3">
        <v>2.0</v>
      </c>
      <c r="J65" s="3" t="s">
        <v>91</v>
      </c>
      <c r="K65" s="3">
        <f t="shared" si="3"/>
        <v>1</v>
      </c>
      <c r="L65" s="3" t="s">
        <v>133</v>
      </c>
      <c r="M65" s="3">
        <f t="shared" si="4"/>
        <v>0</v>
      </c>
      <c r="N65" s="4"/>
      <c r="O65" s="3" t="s">
        <v>93</v>
      </c>
      <c r="P65" s="3" t="s">
        <v>260</v>
      </c>
      <c r="Q65" s="3">
        <v>1.0</v>
      </c>
      <c r="R65" s="3">
        <v>1.0</v>
      </c>
      <c r="S65" s="3">
        <v>0.0</v>
      </c>
      <c r="T65" s="3">
        <v>0.0</v>
      </c>
      <c r="U65" s="3">
        <v>0.0</v>
      </c>
      <c r="V65" s="3">
        <v>0.0</v>
      </c>
      <c r="W65" s="3">
        <v>0.0</v>
      </c>
      <c r="X65" s="3">
        <v>1.0</v>
      </c>
      <c r="Y65" s="3">
        <v>0.0</v>
      </c>
      <c r="Z65" s="3">
        <v>1.0</v>
      </c>
      <c r="AA65" s="3">
        <v>0.0</v>
      </c>
      <c r="AB65" s="3">
        <v>0.0</v>
      </c>
      <c r="AC65" s="3">
        <v>0.0</v>
      </c>
      <c r="AD65" s="3" t="s">
        <v>974</v>
      </c>
      <c r="AE65" s="5" t="s">
        <v>96</v>
      </c>
      <c r="AF65" s="5">
        <v>0.5</v>
      </c>
      <c r="AG65" s="3" t="s">
        <v>97</v>
      </c>
      <c r="AH65" s="3">
        <v>1.0</v>
      </c>
      <c r="AI65" s="3" t="s">
        <v>975</v>
      </c>
      <c r="AJ65" s="5" t="s">
        <v>99</v>
      </c>
      <c r="AK65" s="5">
        <v>1.0</v>
      </c>
      <c r="AL65" s="3" t="s">
        <v>976</v>
      </c>
      <c r="AM65" s="5" t="s">
        <v>101</v>
      </c>
      <c r="AN65" s="5">
        <v>0.75</v>
      </c>
      <c r="AO65" s="3" t="s">
        <v>97</v>
      </c>
      <c r="AP65" s="3">
        <v>1.0</v>
      </c>
      <c r="AQ65" s="3" t="s">
        <v>977</v>
      </c>
      <c r="AR65" s="5" t="s">
        <v>103</v>
      </c>
      <c r="AS65" s="3">
        <v>1.0</v>
      </c>
      <c r="AT65" s="3" t="s">
        <v>94</v>
      </c>
      <c r="AU65" s="5" t="s">
        <v>104</v>
      </c>
      <c r="AV65" s="5">
        <v>1.0</v>
      </c>
      <c r="AW65" s="3" t="s">
        <v>978</v>
      </c>
      <c r="AX65" s="5" t="s">
        <v>106</v>
      </c>
      <c r="AY65" s="5">
        <v>0.25</v>
      </c>
      <c r="AZ65" s="3" t="s">
        <v>979</v>
      </c>
      <c r="BA65" s="5" t="s">
        <v>108</v>
      </c>
      <c r="BB65" s="5">
        <v>0.5</v>
      </c>
      <c r="BC65" s="3" t="s">
        <v>109</v>
      </c>
      <c r="BD65" s="5" t="s">
        <v>110</v>
      </c>
      <c r="BE65" s="3">
        <v>1.0</v>
      </c>
      <c r="BF65" s="3" t="s">
        <v>980</v>
      </c>
      <c r="BG65" s="5" t="s">
        <v>112</v>
      </c>
      <c r="BH65" s="5">
        <v>0.75</v>
      </c>
      <c r="BI65" s="3" t="s">
        <v>981</v>
      </c>
      <c r="BJ65" s="5" t="s">
        <v>114</v>
      </c>
      <c r="BK65" s="5">
        <v>1.0</v>
      </c>
      <c r="BL65" s="3" t="s">
        <v>115</v>
      </c>
      <c r="BM65" s="5" t="s">
        <v>116</v>
      </c>
      <c r="BN65" s="5">
        <v>1.0</v>
      </c>
      <c r="BO65" s="3" t="s">
        <v>211</v>
      </c>
      <c r="BP65" s="3"/>
      <c r="BQ65" s="3">
        <v>1.0</v>
      </c>
      <c r="BR65" s="3" t="s">
        <v>161</v>
      </c>
      <c r="BS65" s="5" t="s">
        <v>119</v>
      </c>
      <c r="BT65" s="5">
        <v>1.0</v>
      </c>
      <c r="BU65" s="3" t="s">
        <v>982</v>
      </c>
      <c r="BV65" s="5" t="s">
        <v>121</v>
      </c>
      <c r="BW65" s="5">
        <v>0.5</v>
      </c>
      <c r="BX65" s="3" t="s">
        <v>983</v>
      </c>
      <c r="BY65" s="5" t="s">
        <v>123</v>
      </c>
      <c r="BZ65" s="5">
        <v>0.75</v>
      </c>
      <c r="CA65" s="3" t="s">
        <v>97</v>
      </c>
      <c r="CB65" s="3" t="s">
        <v>984</v>
      </c>
      <c r="CC65" s="3" t="s">
        <v>97</v>
      </c>
      <c r="CD65" s="3" t="s">
        <v>125</v>
      </c>
      <c r="CE65" s="3" t="s">
        <v>823</v>
      </c>
      <c r="CF65" s="3" t="s">
        <v>97</v>
      </c>
      <c r="CG65" s="3" t="s">
        <v>985</v>
      </c>
      <c r="CH65" s="3">
        <v>6.0</v>
      </c>
    </row>
    <row r="66" ht="14.25" customHeight="1">
      <c r="A66" s="3">
        <v>44731.8853903819</v>
      </c>
      <c r="B66" s="3" t="s">
        <v>86</v>
      </c>
      <c r="C66" s="3">
        <f t="shared" si="1"/>
        <v>1</v>
      </c>
      <c r="D66" s="3" t="s">
        <v>87</v>
      </c>
      <c r="E66" s="3" t="s">
        <v>88</v>
      </c>
      <c r="F66" s="3">
        <f t="shared" si="2"/>
        <v>1</v>
      </c>
      <c r="G66" s="3" t="s">
        <v>130</v>
      </c>
      <c r="H66" s="3" t="s">
        <v>131</v>
      </c>
      <c r="I66" s="3">
        <v>1.0</v>
      </c>
      <c r="J66" s="3" t="s">
        <v>132</v>
      </c>
      <c r="K66" s="3">
        <f t="shared" si="3"/>
        <v>0</v>
      </c>
      <c r="L66" s="3" t="s">
        <v>133</v>
      </c>
      <c r="M66" s="3">
        <f t="shared" si="4"/>
        <v>0</v>
      </c>
      <c r="N66" s="4"/>
      <c r="O66" s="3" t="s">
        <v>93</v>
      </c>
      <c r="P66" s="3" t="s">
        <v>380</v>
      </c>
      <c r="Q66" s="3">
        <v>1.0</v>
      </c>
      <c r="R66" s="3">
        <v>0.0</v>
      </c>
      <c r="S66" s="3">
        <v>0.0</v>
      </c>
      <c r="T66" s="3">
        <v>0.0</v>
      </c>
      <c r="U66" s="3">
        <v>0.0</v>
      </c>
      <c r="V66" s="3">
        <v>0.0</v>
      </c>
      <c r="W66" s="3">
        <v>0.0</v>
      </c>
      <c r="X66" s="3">
        <v>0.0</v>
      </c>
      <c r="Y66" s="3">
        <v>0.0</v>
      </c>
      <c r="Z66" s="3">
        <v>1.0</v>
      </c>
      <c r="AA66" s="3">
        <v>0.0</v>
      </c>
      <c r="AB66" s="3">
        <v>0.0</v>
      </c>
      <c r="AC66" s="3">
        <v>0.0</v>
      </c>
      <c r="AD66" s="3" t="s">
        <v>986</v>
      </c>
      <c r="AE66" s="5" t="s">
        <v>96</v>
      </c>
      <c r="AF66" s="5">
        <v>0.5</v>
      </c>
      <c r="AG66" s="3" t="s">
        <v>97</v>
      </c>
      <c r="AH66" s="3">
        <v>1.0</v>
      </c>
      <c r="AI66" s="3" t="s">
        <v>987</v>
      </c>
      <c r="AJ66" s="5" t="s">
        <v>99</v>
      </c>
      <c r="AK66" s="5">
        <v>1.0</v>
      </c>
      <c r="AL66" s="3" t="s">
        <v>988</v>
      </c>
      <c r="AM66" s="5" t="s">
        <v>101</v>
      </c>
      <c r="AN66" s="5">
        <v>1.0</v>
      </c>
      <c r="AO66" s="3" t="s">
        <v>97</v>
      </c>
      <c r="AP66" s="3">
        <v>1.0</v>
      </c>
      <c r="AQ66" s="3" t="s">
        <v>989</v>
      </c>
      <c r="AR66" s="5" t="s">
        <v>103</v>
      </c>
      <c r="AS66" s="3">
        <v>1.0</v>
      </c>
      <c r="AT66" s="3" t="s">
        <v>782</v>
      </c>
      <c r="AU66" s="5" t="s">
        <v>104</v>
      </c>
      <c r="AV66" s="5">
        <v>0.75</v>
      </c>
      <c r="AW66" s="3" t="s">
        <v>990</v>
      </c>
      <c r="AX66" s="5" t="s">
        <v>106</v>
      </c>
      <c r="AY66" s="5">
        <v>0.25</v>
      </c>
      <c r="AZ66" s="3" t="s">
        <v>991</v>
      </c>
      <c r="BA66" s="5" t="s">
        <v>108</v>
      </c>
      <c r="BB66" s="5">
        <v>0.25</v>
      </c>
      <c r="BC66" s="3" t="s">
        <v>109</v>
      </c>
      <c r="BD66" s="5" t="s">
        <v>110</v>
      </c>
      <c r="BE66" s="3">
        <v>1.0</v>
      </c>
      <c r="BF66" s="3" t="s">
        <v>992</v>
      </c>
      <c r="BG66" s="5" t="s">
        <v>112</v>
      </c>
      <c r="BH66" s="5">
        <v>0.75</v>
      </c>
      <c r="BI66" s="3" t="s">
        <v>993</v>
      </c>
      <c r="BJ66" s="5" t="s">
        <v>114</v>
      </c>
      <c r="BK66" s="5">
        <v>0.75</v>
      </c>
      <c r="BL66" s="3" t="s">
        <v>589</v>
      </c>
      <c r="BM66" s="5" t="s">
        <v>116</v>
      </c>
      <c r="BN66" s="5">
        <v>1.0</v>
      </c>
      <c r="BO66" s="3" t="s">
        <v>117</v>
      </c>
      <c r="BP66" s="3"/>
      <c r="BQ66" s="3">
        <v>1.0</v>
      </c>
      <c r="BR66" s="3" t="s">
        <v>161</v>
      </c>
      <c r="BS66" s="5" t="s">
        <v>119</v>
      </c>
      <c r="BT66" s="5">
        <v>1.0</v>
      </c>
      <c r="BU66" s="3" t="s">
        <v>994</v>
      </c>
      <c r="BV66" s="5" t="s">
        <v>121</v>
      </c>
      <c r="BW66" s="5">
        <v>0.5</v>
      </c>
      <c r="BX66" s="3" t="s">
        <v>995</v>
      </c>
      <c r="BY66" s="5" t="s">
        <v>123</v>
      </c>
      <c r="BZ66" s="5">
        <v>0.5</v>
      </c>
      <c r="CA66" s="3" t="s">
        <v>97</v>
      </c>
      <c r="CB66" s="3" t="s">
        <v>996</v>
      </c>
      <c r="CC66" s="3" t="s">
        <v>97</v>
      </c>
      <c r="CD66" s="3" t="s">
        <v>165</v>
      </c>
      <c r="CE66" s="3" t="s">
        <v>997</v>
      </c>
      <c r="CF66" s="3" t="s">
        <v>167</v>
      </c>
      <c r="CG66" s="3" t="s">
        <v>998</v>
      </c>
      <c r="CH66" s="3">
        <v>5.0</v>
      </c>
    </row>
    <row r="67" ht="14.25" customHeight="1">
      <c r="A67" s="3">
        <v>44731.897249537</v>
      </c>
      <c r="B67" s="3" t="s">
        <v>149</v>
      </c>
      <c r="C67" s="3">
        <f t="shared" si="1"/>
        <v>0</v>
      </c>
      <c r="D67" s="3" t="s">
        <v>87</v>
      </c>
      <c r="E67" s="3" t="s">
        <v>88</v>
      </c>
      <c r="F67" s="3">
        <f t="shared" si="2"/>
        <v>1</v>
      </c>
      <c r="G67" s="3" t="s">
        <v>150</v>
      </c>
      <c r="H67" s="3" t="s">
        <v>202</v>
      </c>
      <c r="I67" s="3">
        <v>1.0</v>
      </c>
      <c r="J67" s="3" t="s">
        <v>91</v>
      </c>
      <c r="K67" s="3">
        <f t="shared" si="3"/>
        <v>1</v>
      </c>
      <c r="L67" s="3" t="s">
        <v>133</v>
      </c>
      <c r="M67" s="3">
        <f t="shared" si="4"/>
        <v>0</v>
      </c>
      <c r="N67" s="4"/>
      <c r="O67" s="3" t="s">
        <v>93</v>
      </c>
      <c r="P67" s="3" t="s">
        <v>999</v>
      </c>
      <c r="Q67" s="3">
        <v>0.0</v>
      </c>
      <c r="R67" s="3">
        <v>0.0</v>
      </c>
      <c r="S67" s="3">
        <v>0.0</v>
      </c>
      <c r="T67" s="3">
        <v>1.0</v>
      </c>
      <c r="U67" s="3">
        <v>1.0</v>
      </c>
      <c r="V67" s="3">
        <v>0.0</v>
      </c>
      <c r="W67" s="3">
        <v>0.0</v>
      </c>
      <c r="X67" s="3">
        <v>0.0</v>
      </c>
      <c r="Y67" s="3">
        <v>0.0</v>
      </c>
      <c r="Z67" s="3">
        <v>1.0</v>
      </c>
      <c r="AA67" s="3">
        <v>0.0</v>
      </c>
      <c r="AB67" s="3">
        <v>0.0</v>
      </c>
      <c r="AC67" s="3">
        <v>0.0</v>
      </c>
      <c r="AD67" s="3" t="s">
        <v>1000</v>
      </c>
      <c r="AE67" s="5" t="s">
        <v>96</v>
      </c>
      <c r="AF67" s="5">
        <v>0.25</v>
      </c>
      <c r="AG67" s="3" t="s">
        <v>97</v>
      </c>
      <c r="AH67" s="3">
        <v>1.0</v>
      </c>
      <c r="AI67" s="3" t="s">
        <v>869</v>
      </c>
      <c r="AJ67" s="5" t="s">
        <v>99</v>
      </c>
      <c r="AK67" s="5">
        <v>1.0</v>
      </c>
      <c r="AL67" s="3" t="s">
        <v>1001</v>
      </c>
      <c r="AM67" s="5" t="s">
        <v>101</v>
      </c>
      <c r="AN67" s="5">
        <v>0.25</v>
      </c>
      <c r="AO67" s="3" t="s">
        <v>97</v>
      </c>
      <c r="AP67" s="3">
        <v>1.0</v>
      </c>
      <c r="AQ67" s="3" t="s">
        <v>1002</v>
      </c>
      <c r="AR67" s="5" t="s">
        <v>103</v>
      </c>
      <c r="AS67" s="3">
        <v>1.0</v>
      </c>
      <c r="AT67" s="3" t="s">
        <v>782</v>
      </c>
      <c r="AU67" s="5" t="s">
        <v>104</v>
      </c>
      <c r="AV67" s="5">
        <v>0.75</v>
      </c>
      <c r="AW67" s="3" t="s">
        <v>1003</v>
      </c>
      <c r="AX67" s="5" t="s">
        <v>106</v>
      </c>
      <c r="AY67" s="5">
        <v>0.5</v>
      </c>
      <c r="AZ67" s="3" t="s">
        <v>1004</v>
      </c>
      <c r="BA67" s="5" t="s">
        <v>108</v>
      </c>
      <c r="BB67" s="5">
        <v>0.75</v>
      </c>
      <c r="BC67" s="3" t="s">
        <v>109</v>
      </c>
      <c r="BD67" s="5" t="s">
        <v>110</v>
      </c>
      <c r="BE67" s="3">
        <v>1.0</v>
      </c>
      <c r="BF67" s="3" t="s">
        <v>1005</v>
      </c>
      <c r="BG67" s="5" t="s">
        <v>112</v>
      </c>
      <c r="BH67" s="5">
        <v>0.5</v>
      </c>
      <c r="BI67" s="3" t="s">
        <v>1006</v>
      </c>
      <c r="BJ67" s="5" t="s">
        <v>114</v>
      </c>
      <c r="BK67" s="5">
        <v>1.0</v>
      </c>
      <c r="BL67" s="3" t="s">
        <v>115</v>
      </c>
      <c r="BM67" s="5" t="s">
        <v>116</v>
      </c>
      <c r="BN67" s="5">
        <v>1.0</v>
      </c>
      <c r="BO67" s="3" t="s">
        <v>211</v>
      </c>
      <c r="BP67" s="3"/>
      <c r="BQ67" s="3">
        <v>1.0</v>
      </c>
      <c r="BR67" s="3" t="s">
        <v>363</v>
      </c>
      <c r="BS67" s="5" t="s">
        <v>119</v>
      </c>
      <c r="BT67" s="5">
        <v>1.0</v>
      </c>
      <c r="BU67" s="3" t="s">
        <v>1007</v>
      </c>
      <c r="BV67" s="5" t="s">
        <v>121</v>
      </c>
      <c r="BW67" s="5">
        <v>0.0</v>
      </c>
      <c r="BX67" s="3" t="s">
        <v>1008</v>
      </c>
      <c r="BY67" s="5" t="s">
        <v>123</v>
      </c>
      <c r="BZ67" s="5">
        <v>0.25</v>
      </c>
      <c r="CA67" s="3" t="s">
        <v>97</v>
      </c>
      <c r="CB67" s="3" t="s">
        <v>1009</v>
      </c>
      <c r="CC67" s="3" t="s">
        <v>97</v>
      </c>
      <c r="CD67" s="3" t="s">
        <v>125</v>
      </c>
      <c r="CE67" s="3" t="s">
        <v>1010</v>
      </c>
      <c r="CF67" s="3" t="s">
        <v>97</v>
      </c>
      <c r="CG67" s="3" t="s">
        <v>1011</v>
      </c>
      <c r="CH67" s="3">
        <v>7.0</v>
      </c>
    </row>
    <row r="68" ht="14.25" customHeight="1">
      <c r="A68" s="3">
        <v>44731.906798287</v>
      </c>
      <c r="B68" s="3" t="s">
        <v>86</v>
      </c>
      <c r="C68" s="3">
        <f t="shared" si="1"/>
        <v>1</v>
      </c>
      <c r="D68" s="3" t="s">
        <v>393</v>
      </c>
      <c r="E68" s="3" t="s">
        <v>394</v>
      </c>
      <c r="F68" s="3">
        <f t="shared" si="2"/>
        <v>0</v>
      </c>
      <c r="G68" s="3" t="s">
        <v>791</v>
      </c>
      <c r="H68" s="3" t="s">
        <v>1012</v>
      </c>
      <c r="I68" s="3">
        <v>3.0</v>
      </c>
      <c r="J68" s="3" t="s">
        <v>91</v>
      </c>
      <c r="K68" s="3">
        <f t="shared" si="3"/>
        <v>1</v>
      </c>
      <c r="L68" s="3" t="s">
        <v>133</v>
      </c>
      <c r="M68" s="3">
        <f t="shared" si="4"/>
        <v>0</v>
      </c>
      <c r="N68" s="4"/>
      <c r="O68" s="3" t="s">
        <v>93</v>
      </c>
      <c r="P68" s="3" t="s">
        <v>1013</v>
      </c>
      <c r="Q68" s="3">
        <v>0.0</v>
      </c>
      <c r="R68" s="3">
        <v>0.0</v>
      </c>
      <c r="S68" s="3">
        <v>1.0</v>
      </c>
      <c r="T68" s="3">
        <v>0.0</v>
      </c>
      <c r="U68" s="3">
        <v>0.0</v>
      </c>
      <c r="V68" s="3">
        <v>0.0</v>
      </c>
      <c r="W68" s="3">
        <v>0.0</v>
      </c>
      <c r="X68" s="3">
        <v>0.0</v>
      </c>
      <c r="Y68" s="3">
        <v>0.0</v>
      </c>
      <c r="Z68" s="3">
        <v>0.0</v>
      </c>
      <c r="AA68" s="3">
        <v>0.0</v>
      </c>
      <c r="AB68" s="3">
        <v>0.0</v>
      </c>
      <c r="AC68" s="3">
        <v>0.0</v>
      </c>
      <c r="AD68" s="3" t="s">
        <v>1014</v>
      </c>
      <c r="AE68" s="5" t="s">
        <v>96</v>
      </c>
      <c r="AF68" s="5">
        <v>0.5</v>
      </c>
      <c r="AG68" s="3" t="s">
        <v>97</v>
      </c>
      <c r="AH68" s="3">
        <v>1.0</v>
      </c>
      <c r="AI68" s="3" t="s">
        <v>1015</v>
      </c>
      <c r="AJ68" s="5" t="s">
        <v>99</v>
      </c>
      <c r="AK68" s="5">
        <v>0.0</v>
      </c>
      <c r="AL68" s="3" t="s">
        <v>1016</v>
      </c>
      <c r="AM68" s="5" t="s">
        <v>101</v>
      </c>
      <c r="AN68" s="5">
        <v>1.0</v>
      </c>
      <c r="AO68" s="3" t="s">
        <v>97</v>
      </c>
      <c r="AP68" s="3">
        <v>1.0</v>
      </c>
      <c r="AQ68" s="3" t="s">
        <v>1017</v>
      </c>
      <c r="AR68" s="5" t="s">
        <v>103</v>
      </c>
      <c r="AS68" s="3">
        <v>1.0</v>
      </c>
      <c r="AT68" s="3" t="s">
        <v>292</v>
      </c>
      <c r="AU68" s="5" t="s">
        <v>104</v>
      </c>
      <c r="AV68" s="5">
        <v>0.5</v>
      </c>
      <c r="AW68" s="3" t="s">
        <v>1018</v>
      </c>
      <c r="AX68" s="5" t="s">
        <v>106</v>
      </c>
      <c r="AY68" s="5">
        <v>1.0</v>
      </c>
      <c r="AZ68" s="3" t="s">
        <v>1019</v>
      </c>
      <c r="BA68" s="5" t="s">
        <v>108</v>
      </c>
      <c r="BB68" s="5">
        <v>0.5</v>
      </c>
      <c r="BC68" s="3" t="s">
        <v>109</v>
      </c>
      <c r="BD68" s="5" t="s">
        <v>110</v>
      </c>
      <c r="BE68" s="3">
        <v>1.0</v>
      </c>
      <c r="BF68" s="3" t="s">
        <v>1020</v>
      </c>
      <c r="BG68" s="5" t="s">
        <v>112</v>
      </c>
      <c r="BH68" s="5">
        <v>0.75</v>
      </c>
      <c r="BI68" s="3" t="s">
        <v>1021</v>
      </c>
      <c r="BJ68" s="5" t="s">
        <v>114</v>
      </c>
      <c r="BK68" s="5">
        <v>0.5</v>
      </c>
      <c r="BL68" s="3" t="s">
        <v>115</v>
      </c>
      <c r="BM68" s="5" t="s">
        <v>116</v>
      </c>
      <c r="BN68" s="5">
        <v>1.0</v>
      </c>
      <c r="BO68" s="3" t="s">
        <v>117</v>
      </c>
      <c r="BP68" s="3"/>
      <c r="BQ68" s="3">
        <v>1.0</v>
      </c>
      <c r="BR68" s="3" t="s">
        <v>311</v>
      </c>
      <c r="BS68" s="5" t="s">
        <v>119</v>
      </c>
      <c r="BT68" s="5">
        <v>0.5</v>
      </c>
      <c r="BU68" s="3" t="s">
        <v>1022</v>
      </c>
      <c r="BV68" s="5" t="s">
        <v>121</v>
      </c>
      <c r="BW68" s="5">
        <v>0.75</v>
      </c>
      <c r="BX68" s="3" t="s">
        <v>1023</v>
      </c>
      <c r="BY68" s="5" t="s">
        <v>123</v>
      </c>
      <c r="BZ68" s="5">
        <v>0.5</v>
      </c>
      <c r="CA68" s="3" t="s">
        <v>97</v>
      </c>
      <c r="CB68" s="3" t="s">
        <v>1024</v>
      </c>
      <c r="CC68" s="3" t="s">
        <v>97</v>
      </c>
      <c r="CD68" s="3" t="s">
        <v>125</v>
      </c>
      <c r="CE68" s="3" t="s">
        <v>1025</v>
      </c>
      <c r="CF68" s="3" t="s">
        <v>97</v>
      </c>
      <c r="CG68" s="3" t="s">
        <v>1026</v>
      </c>
      <c r="CH68" s="3">
        <v>5.0</v>
      </c>
    </row>
    <row r="69" ht="14.25" customHeight="1">
      <c r="A69" s="3">
        <v>44731.9198193287</v>
      </c>
      <c r="B69" s="3" t="s">
        <v>149</v>
      </c>
      <c r="C69" s="3">
        <f t="shared" si="1"/>
        <v>0</v>
      </c>
      <c r="D69" s="3" t="s">
        <v>128</v>
      </c>
      <c r="E69" s="3" t="s">
        <v>129</v>
      </c>
      <c r="F69" s="3">
        <f t="shared" si="2"/>
        <v>3</v>
      </c>
      <c r="G69" s="3" t="s">
        <v>150</v>
      </c>
      <c r="H69" s="3" t="s">
        <v>151</v>
      </c>
      <c r="I69" s="3">
        <v>2.0</v>
      </c>
      <c r="J69" s="3" t="s">
        <v>91</v>
      </c>
      <c r="K69" s="3">
        <f t="shared" si="3"/>
        <v>1</v>
      </c>
      <c r="L69" s="3" t="s">
        <v>133</v>
      </c>
      <c r="M69" s="3">
        <f t="shared" si="4"/>
        <v>0</v>
      </c>
      <c r="N69" s="4"/>
      <c r="O69" s="3" t="s">
        <v>766</v>
      </c>
      <c r="P69" s="3" t="s">
        <v>25</v>
      </c>
      <c r="Q69" s="3">
        <v>0.0</v>
      </c>
      <c r="R69" s="3">
        <v>0.0</v>
      </c>
      <c r="S69" s="3">
        <v>0.0</v>
      </c>
      <c r="T69" s="3">
        <v>0.0</v>
      </c>
      <c r="U69" s="3">
        <v>0.0</v>
      </c>
      <c r="V69" s="3">
        <v>0.0</v>
      </c>
      <c r="W69" s="3">
        <v>0.0</v>
      </c>
      <c r="X69" s="3">
        <v>0.0</v>
      </c>
      <c r="Y69" s="3">
        <v>0.0</v>
      </c>
      <c r="Z69" s="3">
        <v>1.0</v>
      </c>
      <c r="AA69" s="3">
        <v>0.0</v>
      </c>
      <c r="AB69" s="3">
        <v>0.0</v>
      </c>
      <c r="AC69" s="3">
        <v>0.0</v>
      </c>
      <c r="AD69" s="3" t="s">
        <v>1027</v>
      </c>
      <c r="AE69" s="5" t="s">
        <v>96</v>
      </c>
      <c r="AF69" s="5">
        <v>0.25</v>
      </c>
      <c r="AG69" s="3" t="s">
        <v>97</v>
      </c>
      <c r="AH69" s="3">
        <v>1.0</v>
      </c>
      <c r="AI69" s="3" t="s">
        <v>807</v>
      </c>
      <c r="AJ69" s="5" t="s">
        <v>99</v>
      </c>
      <c r="AK69" s="5">
        <v>1.0</v>
      </c>
      <c r="AL69" s="3" t="s">
        <v>1028</v>
      </c>
      <c r="AM69" s="5" t="s">
        <v>101</v>
      </c>
      <c r="AN69" s="5">
        <v>0.5</v>
      </c>
      <c r="AO69" s="3" t="s">
        <v>97</v>
      </c>
      <c r="AP69" s="3">
        <v>1.0</v>
      </c>
      <c r="AQ69" s="3" t="s">
        <v>1029</v>
      </c>
      <c r="AR69" s="5" t="s">
        <v>103</v>
      </c>
      <c r="AS69" s="3">
        <v>1.0</v>
      </c>
      <c r="AT69" s="3" t="s">
        <v>94</v>
      </c>
      <c r="AU69" s="5" t="s">
        <v>104</v>
      </c>
      <c r="AV69" s="5">
        <v>1.0</v>
      </c>
      <c r="AW69" s="3" t="s">
        <v>1030</v>
      </c>
      <c r="AX69" s="5" t="s">
        <v>106</v>
      </c>
      <c r="AY69" s="5">
        <v>0.25</v>
      </c>
      <c r="AZ69" s="3" t="s">
        <v>1031</v>
      </c>
      <c r="BA69" s="5" t="s">
        <v>108</v>
      </c>
      <c r="BB69" s="5">
        <v>0.75</v>
      </c>
      <c r="BC69" s="3" t="s">
        <v>109</v>
      </c>
      <c r="BD69" s="5" t="s">
        <v>110</v>
      </c>
      <c r="BE69" s="3">
        <v>1.0</v>
      </c>
      <c r="BF69" s="3" t="s">
        <v>1032</v>
      </c>
      <c r="BG69" s="5" t="s">
        <v>112</v>
      </c>
      <c r="BH69" s="5">
        <v>0.5</v>
      </c>
      <c r="BI69" s="3" t="s">
        <v>1033</v>
      </c>
      <c r="BJ69" s="5" t="s">
        <v>114</v>
      </c>
      <c r="BK69" s="5">
        <v>0.5</v>
      </c>
      <c r="BL69" s="3" t="s">
        <v>115</v>
      </c>
      <c r="BM69" s="5" t="s">
        <v>116</v>
      </c>
      <c r="BN69" s="5">
        <v>1.0</v>
      </c>
      <c r="BO69" s="3" t="s">
        <v>211</v>
      </c>
      <c r="BP69" s="3"/>
      <c r="BQ69" s="3">
        <v>1.0</v>
      </c>
      <c r="BR69" s="3" t="s">
        <v>227</v>
      </c>
      <c r="BS69" s="5" t="s">
        <v>119</v>
      </c>
      <c r="BT69" s="5">
        <v>0.5</v>
      </c>
      <c r="BU69" s="3" t="s">
        <v>1034</v>
      </c>
      <c r="BV69" s="5" t="s">
        <v>121</v>
      </c>
      <c r="BW69" s="5">
        <v>0.5</v>
      </c>
      <c r="BX69" s="3" t="s">
        <v>1035</v>
      </c>
      <c r="BY69" s="5" t="s">
        <v>123</v>
      </c>
      <c r="BZ69" s="5">
        <v>0.5</v>
      </c>
      <c r="CA69" s="3" t="s">
        <v>97</v>
      </c>
      <c r="CB69" s="3" t="s">
        <v>1036</v>
      </c>
      <c r="CC69" s="3" t="s">
        <v>97</v>
      </c>
      <c r="CD69" s="3" t="s">
        <v>125</v>
      </c>
      <c r="CE69" s="3" t="s">
        <v>1037</v>
      </c>
      <c r="CF69" s="3" t="s">
        <v>97</v>
      </c>
      <c r="CG69" s="3" t="s">
        <v>1038</v>
      </c>
      <c r="CH69" s="3">
        <v>6.0</v>
      </c>
    </row>
    <row r="70" ht="14.25" customHeight="1">
      <c r="A70" s="3">
        <v>44731.9360353472</v>
      </c>
      <c r="B70" s="3" t="s">
        <v>86</v>
      </c>
      <c r="C70" s="3">
        <f t="shared" si="1"/>
        <v>1</v>
      </c>
      <c r="D70" s="3" t="s">
        <v>128</v>
      </c>
      <c r="E70" s="3" t="s">
        <v>129</v>
      </c>
      <c r="F70" s="3">
        <f t="shared" si="2"/>
        <v>3</v>
      </c>
      <c r="G70" s="3" t="s">
        <v>130</v>
      </c>
      <c r="H70" s="3" t="s">
        <v>259</v>
      </c>
      <c r="I70" s="3">
        <v>1.0</v>
      </c>
      <c r="J70" s="3" t="s">
        <v>91</v>
      </c>
      <c r="K70" s="3">
        <f t="shared" si="3"/>
        <v>1</v>
      </c>
      <c r="L70" s="3" t="s">
        <v>133</v>
      </c>
      <c r="M70" s="3">
        <f t="shared" si="4"/>
        <v>0</v>
      </c>
      <c r="N70" s="4"/>
      <c r="O70" s="3" t="s">
        <v>766</v>
      </c>
      <c r="P70" s="3" t="s">
        <v>595</v>
      </c>
      <c r="Q70" s="3">
        <v>0.0</v>
      </c>
      <c r="R70" s="3">
        <v>1.0</v>
      </c>
      <c r="S70" s="3">
        <v>0.0</v>
      </c>
      <c r="T70" s="3">
        <v>0.0</v>
      </c>
      <c r="U70" s="3">
        <v>0.0</v>
      </c>
      <c r="V70" s="3">
        <v>0.0</v>
      </c>
      <c r="W70" s="3">
        <v>0.0</v>
      </c>
      <c r="X70" s="3">
        <v>1.0</v>
      </c>
      <c r="Y70" s="3">
        <v>0.0</v>
      </c>
      <c r="Z70" s="3">
        <v>0.0</v>
      </c>
      <c r="AA70" s="3">
        <v>0.0</v>
      </c>
      <c r="AB70" s="3">
        <v>0.0</v>
      </c>
      <c r="AC70" s="3">
        <v>0.0</v>
      </c>
      <c r="AD70" s="3" t="s">
        <v>1039</v>
      </c>
      <c r="AE70" s="5" t="s">
        <v>96</v>
      </c>
      <c r="AF70" s="5">
        <v>0.25</v>
      </c>
      <c r="AG70" s="3" t="s">
        <v>97</v>
      </c>
      <c r="AH70" s="3">
        <v>1.0</v>
      </c>
      <c r="AI70" s="3" t="s">
        <v>807</v>
      </c>
      <c r="AJ70" s="5" t="s">
        <v>99</v>
      </c>
      <c r="AK70" s="5">
        <v>1.0</v>
      </c>
      <c r="AL70" s="3" t="s">
        <v>1040</v>
      </c>
      <c r="AM70" s="5" t="s">
        <v>101</v>
      </c>
      <c r="AN70" s="5">
        <v>0.75</v>
      </c>
      <c r="AO70" s="3" t="s">
        <v>97</v>
      </c>
      <c r="AP70" s="3">
        <v>1.0</v>
      </c>
      <c r="AQ70" s="3" t="s">
        <v>1041</v>
      </c>
      <c r="AR70" s="5" t="s">
        <v>103</v>
      </c>
      <c r="AS70" s="3">
        <v>1.0</v>
      </c>
      <c r="AT70" s="3" t="s">
        <v>94</v>
      </c>
      <c r="AU70" s="5" t="s">
        <v>104</v>
      </c>
      <c r="AV70" s="5">
        <v>1.0</v>
      </c>
      <c r="AW70" s="3" t="s">
        <v>1042</v>
      </c>
      <c r="AX70" s="5" t="s">
        <v>106</v>
      </c>
      <c r="AY70" s="5">
        <v>0.25</v>
      </c>
      <c r="AZ70" s="3" t="s">
        <v>1043</v>
      </c>
      <c r="BA70" s="5" t="s">
        <v>108</v>
      </c>
      <c r="BB70" s="5">
        <v>0.75</v>
      </c>
      <c r="BC70" s="3" t="s">
        <v>109</v>
      </c>
      <c r="BD70" s="5" t="s">
        <v>110</v>
      </c>
      <c r="BE70" s="3">
        <v>1.0</v>
      </c>
      <c r="BF70" s="3" t="s">
        <v>1044</v>
      </c>
      <c r="BG70" s="5" t="s">
        <v>112</v>
      </c>
      <c r="BH70" s="5">
        <v>0.5</v>
      </c>
      <c r="BI70" s="3" t="s">
        <v>1045</v>
      </c>
      <c r="BJ70" s="5" t="s">
        <v>114</v>
      </c>
      <c r="BK70" s="5">
        <v>1.0</v>
      </c>
      <c r="BL70" s="3" t="s">
        <v>115</v>
      </c>
      <c r="BM70" s="5" t="s">
        <v>116</v>
      </c>
      <c r="BN70" s="5">
        <v>1.0</v>
      </c>
      <c r="BO70" s="3" t="s">
        <v>211</v>
      </c>
      <c r="BP70" s="3"/>
      <c r="BQ70" s="3">
        <v>1.0</v>
      </c>
      <c r="BR70" s="3" t="s">
        <v>118</v>
      </c>
      <c r="BS70" s="5" t="s">
        <v>119</v>
      </c>
      <c r="BT70" s="5">
        <v>0.5</v>
      </c>
      <c r="BU70" s="3" t="s">
        <v>1046</v>
      </c>
      <c r="BV70" s="5" t="s">
        <v>121</v>
      </c>
      <c r="BW70" s="5">
        <v>0.5</v>
      </c>
      <c r="BX70" s="3" t="s">
        <v>1047</v>
      </c>
      <c r="BY70" s="5" t="s">
        <v>123</v>
      </c>
      <c r="BZ70" s="5">
        <v>0.5</v>
      </c>
      <c r="CA70" s="3" t="s">
        <v>97</v>
      </c>
      <c r="CB70" s="3" t="s">
        <v>1048</v>
      </c>
      <c r="CC70" s="3" t="s">
        <v>97</v>
      </c>
      <c r="CD70" s="3" t="s">
        <v>125</v>
      </c>
      <c r="CE70" s="3" t="s">
        <v>1049</v>
      </c>
      <c r="CF70" s="3" t="s">
        <v>97</v>
      </c>
      <c r="CG70" s="3" t="s">
        <v>1050</v>
      </c>
      <c r="CH70" s="3">
        <v>6.0</v>
      </c>
    </row>
    <row r="71" ht="14.25" customHeight="1">
      <c r="A71" s="3">
        <v>44731.945916088</v>
      </c>
      <c r="B71" s="3" t="s">
        <v>149</v>
      </c>
      <c r="C71" s="3">
        <f t="shared" si="1"/>
        <v>0</v>
      </c>
      <c r="D71" s="3" t="s">
        <v>169</v>
      </c>
      <c r="E71" s="3" t="s">
        <v>170</v>
      </c>
      <c r="F71" s="3">
        <f t="shared" si="2"/>
        <v>2</v>
      </c>
      <c r="G71" s="3" t="s">
        <v>881</v>
      </c>
      <c r="H71" s="3" t="s">
        <v>792</v>
      </c>
      <c r="I71" s="3">
        <v>3.0</v>
      </c>
      <c r="J71" s="3" t="s">
        <v>91</v>
      </c>
      <c r="K71" s="3">
        <f t="shared" si="3"/>
        <v>1</v>
      </c>
      <c r="L71" s="3" t="s">
        <v>133</v>
      </c>
      <c r="M71" s="3">
        <f t="shared" si="4"/>
        <v>0</v>
      </c>
      <c r="N71" s="4"/>
      <c r="O71" s="3" t="s">
        <v>766</v>
      </c>
      <c r="P71" s="3" t="s">
        <v>16</v>
      </c>
      <c r="Q71" s="3">
        <v>1.0</v>
      </c>
      <c r="R71" s="3">
        <v>0.0</v>
      </c>
      <c r="S71" s="3">
        <v>0.0</v>
      </c>
      <c r="T71" s="3">
        <v>0.0</v>
      </c>
      <c r="U71" s="3">
        <v>0.0</v>
      </c>
      <c r="V71" s="3">
        <v>0.0</v>
      </c>
      <c r="W71" s="3">
        <v>0.0</v>
      </c>
      <c r="X71" s="3">
        <v>0.0</v>
      </c>
      <c r="Y71" s="3">
        <v>0.0</v>
      </c>
      <c r="Z71" s="3">
        <v>0.0</v>
      </c>
      <c r="AA71" s="3">
        <v>0.0</v>
      </c>
      <c r="AB71" s="3">
        <v>0.0</v>
      </c>
      <c r="AC71" s="3">
        <v>0.0</v>
      </c>
      <c r="AD71" s="3" t="s">
        <v>1051</v>
      </c>
      <c r="AE71" s="5" t="s">
        <v>96</v>
      </c>
      <c r="AF71" s="5">
        <v>0.75</v>
      </c>
      <c r="AG71" s="3" t="s">
        <v>97</v>
      </c>
      <c r="AH71" s="3">
        <v>1.0</v>
      </c>
      <c r="AI71" s="3" t="s">
        <v>1052</v>
      </c>
      <c r="AJ71" s="5" t="s">
        <v>99</v>
      </c>
      <c r="AK71" s="5">
        <v>0.0</v>
      </c>
      <c r="AL71" s="3" t="s">
        <v>1053</v>
      </c>
      <c r="AM71" s="5" t="s">
        <v>101</v>
      </c>
      <c r="AN71" s="5">
        <v>1.0</v>
      </c>
      <c r="AO71" s="3" t="s">
        <v>97</v>
      </c>
      <c r="AP71" s="3">
        <v>1.0</v>
      </c>
      <c r="AQ71" s="3" t="s">
        <v>1054</v>
      </c>
      <c r="AR71" s="5" t="s">
        <v>103</v>
      </c>
      <c r="AS71" s="3">
        <v>1.0</v>
      </c>
      <c r="AT71" s="3" t="s">
        <v>94</v>
      </c>
      <c r="AU71" s="5" t="s">
        <v>104</v>
      </c>
      <c r="AV71" s="5">
        <v>1.0</v>
      </c>
      <c r="AW71" s="3" t="s">
        <v>105</v>
      </c>
      <c r="AX71" s="5" t="s">
        <v>106</v>
      </c>
      <c r="AY71" s="5">
        <v>0.0</v>
      </c>
      <c r="AZ71" s="3" t="s">
        <v>1055</v>
      </c>
      <c r="BA71" s="5" t="s">
        <v>108</v>
      </c>
      <c r="BB71" s="5">
        <v>1.0</v>
      </c>
      <c r="BC71" s="3" t="s">
        <v>109</v>
      </c>
      <c r="BD71" s="5" t="s">
        <v>110</v>
      </c>
      <c r="BE71" s="3">
        <v>1.0</v>
      </c>
      <c r="BF71" s="3" t="s">
        <v>1056</v>
      </c>
      <c r="BG71" s="5" t="s">
        <v>112</v>
      </c>
      <c r="BH71" s="5">
        <v>0.75</v>
      </c>
      <c r="BI71" s="3" t="s">
        <v>1057</v>
      </c>
      <c r="BJ71" s="5" t="s">
        <v>114</v>
      </c>
      <c r="BK71" s="5">
        <v>1.0</v>
      </c>
      <c r="BL71" s="3" t="s">
        <v>115</v>
      </c>
      <c r="BM71" s="5" t="s">
        <v>116</v>
      </c>
      <c r="BN71" s="5">
        <v>1.0</v>
      </c>
      <c r="BO71" s="3" t="s">
        <v>117</v>
      </c>
      <c r="BP71" s="3"/>
      <c r="BQ71" s="3">
        <v>1.0</v>
      </c>
      <c r="BR71" s="3" t="s">
        <v>118</v>
      </c>
      <c r="BS71" s="5" t="s">
        <v>119</v>
      </c>
      <c r="BT71" s="5">
        <v>0.5</v>
      </c>
      <c r="BU71" s="3" t="s">
        <v>1058</v>
      </c>
      <c r="BV71" s="5" t="s">
        <v>121</v>
      </c>
      <c r="BW71" s="5">
        <v>0.25</v>
      </c>
      <c r="BX71" s="3" t="s">
        <v>1059</v>
      </c>
      <c r="BY71" s="5" t="s">
        <v>123</v>
      </c>
      <c r="BZ71" s="5">
        <v>0.75</v>
      </c>
      <c r="CA71" s="3" t="s">
        <v>97</v>
      </c>
      <c r="CB71" s="3" t="s">
        <v>1060</v>
      </c>
      <c r="CC71" s="3" t="s">
        <v>97</v>
      </c>
      <c r="CD71" s="3" t="s">
        <v>125</v>
      </c>
      <c r="CE71" s="3" t="s">
        <v>1061</v>
      </c>
      <c r="CF71" s="3" t="s">
        <v>97</v>
      </c>
      <c r="CG71" s="3" t="s">
        <v>1062</v>
      </c>
      <c r="CH71" s="3">
        <v>6.0</v>
      </c>
    </row>
    <row r="72" ht="14.25" customHeight="1">
      <c r="A72" s="3">
        <v>44731.951261088</v>
      </c>
      <c r="B72" s="3" t="s">
        <v>86</v>
      </c>
      <c r="C72" s="3">
        <f t="shared" si="1"/>
        <v>1</v>
      </c>
      <c r="D72" s="3" t="s">
        <v>87</v>
      </c>
      <c r="E72" s="3" t="s">
        <v>88</v>
      </c>
      <c r="F72" s="3">
        <f t="shared" si="2"/>
        <v>1</v>
      </c>
      <c r="G72" s="3" t="s">
        <v>791</v>
      </c>
      <c r="H72" s="3" t="s">
        <v>1063</v>
      </c>
      <c r="I72" s="3">
        <v>4.0</v>
      </c>
      <c r="J72" s="3" t="s">
        <v>91</v>
      </c>
      <c r="K72" s="3">
        <f t="shared" si="3"/>
        <v>1</v>
      </c>
      <c r="L72" s="3" t="s">
        <v>133</v>
      </c>
      <c r="M72" s="3">
        <f t="shared" si="4"/>
        <v>0</v>
      </c>
      <c r="N72" s="4"/>
      <c r="O72" s="3" t="s">
        <v>93</v>
      </c>
      <c r="P72" s="3" t="s">
        <v>27</v>
      </c>
      <c r="Q72" s="3">
        <v>0.0</v>
      </c>
      <c r="R72" s="3">
        <v>0.0</v>
      </c>
      <c r="S72" s="3">
        <v>0.0</v>
      </c>
      <c r="T72" s="3">
        <v>0.0</v>
      </c>
      <c r="U72" s="3">
        <v>0.0</v>
      </c>
      <c r="V72" s="3">
        <v>0.0</v>
      </c>
      <c r="W72" s="3">
        <v>0.0</v>
      </c>
      <c r="X72" s="3">
        <v>0.0</v>
      </c>
      <c r="Y72" s="3">
        <v>0.0</v>
      </c>
      <c r="Z72" s="3">
        <v>0.0</v>
      </c>
      <c r="AA72" s="3">
        <v>0.0</v>
      </c>
      <c r="AB72" s="3">
        <v>1.0</v>
      </c>
      <c r="AC72" s="3">
        <v>0.0</v>
      </c>
      <c r="AD72" s="3" t="s">
        <v>1064</v>
      </c>
      <c r="AE72" s="5" t="s">
        <v>96</v>
      </c>
      <c r="AF72" s="5">
        <v>0.25</v>
      </c>
      <c r="AG72" s="3" t="s">
        <v>97</v>
      </c>
      <c r="AH72" s="3">
        <v>1.0</v>
      </c>
      <c r="AI72" s="3" t="s">
        <v>807</v>
      </c>
      <c r="AJ72" s="5" t="s">
        <v>99</v>
      </c>
      <c r="AK72" s="5">
        <v>1.0</v>
      </c>
      <c r="AL72" s="3" t="s">
        <v>1065</v>
      </c>
      <c r="AM72" s="5" t="s">
        <v>101</v>
      </c>
      <c r="AN72" s="5">
        <v>0.75</v>
      </c>
      <c r="AO72" s="3" t="s">
        <v>97</v>
      </c>
      <c r="AP72" s="3">
        <v>1.0</v>
      </c>
      <c r="AQ72" s="3" t="s">
        <v>1066</v>
      </c>
      <c r="AR72" s="5" t="s">
        <v>103</v>
      </c>
      <c r="AS72" s="3">
        <v>1.0</v>
      </c>
      <c r="AT72" s="3" t="s">
        <v>94</v>
      </c>
      <c r="AU72" s="5" t="s">
        <v>104</v>
      </c>
      <c r="AV72" s="5">
        <v>1.0</v>
      </c>
      <c r="AW72" s="3" t="s">
        <v>1067</v>
      </c>
      <c r="AX72" s="5" t="s">
        <v>106</v>
      </c>
      <c r="AY72" s="5">
        <v>0.25</v>
      </c>
      <c r="AZ72" s="3" t="s">
        <v>1068</v>
      </c>
      <c r="BA72" s="5" t="s">
        <v>108</v>
      </c>
      <c r="BB72" s="5">
        <v>0.25</v>
      </c>
      <c r="BC72" s="3" t="s">
        <v>1069</v>
      </c>
      <c r="BD72" s="5" t="s">
        <v>110</v>
      </c>
      <c r="BE72" s="3">
        <v>0.0</v>
      </c>
      <c r="BF72" s="3" t="s">
        <v>1070</v>
      </c>
      <c r="BG72" s="5" t="s">
        <v>112</v>
      </c>
      <c r="BH72" s="5">
        <v>0.75</v>
      </c>
      <c r="BI72" s="3" t="s">
        <v>1071</v>
      </c>
      <c r="BJ72" s="5" t="s">
        <v>114</v>
      </c>
      <c r="BK72" s="5">
        <v>1.0</v>
      </c>
      <c r="BL72" s="3" t="s">
        <v>115</v>
      </c>
      <c r="BM72" s="5" t="s">
        <v>116</v>
      </c>
      <c r="BN72" s="5">
        <v>0.75</v>
      </c>
      <c r="BO72" s="3" t="s">
        <v>211</v>
      </c>
      <c r="BP72" s="3"/>
      <c r="BQ72" s="3">
        <v>1.0</v>
      </c>
      <c r="BR72" s="3" t="s">
        <v>118</v>
      </c>
      <c r="BS72" s="5" t="s">
        <v>119</v>
      </c>
      <c r="BT72" s="5">
        <v>0.5</v>
      </c>
      <c r="BU72" s="3" t="s">
        <v>1072</v>
      </c>
      <c r="BV72" s="5" t="s">
        <v>121</v>
      </c>
      <c r="BW72" s="5">
        <v>0.25</v>
      </c>
      <c r="BX72" s="3" t="s">
        <v>1073</v>
      </c>
      <c r="BY72" s="5" t="s">
        <v>123</v>
      </c>
      <c r="BZ72" s="5">
        <v>0.5</v>
      </c>
      <c r="CA72" s="3" t="s">
        <v>97</v>
      </c>
      <c r="CB72" s="3" t="s">
        <v>1074</v>
      </c>
      <c r="CC72" s="3" t="s">
        <v>167</v>
      </c>
      <c r="CD72" s="3" t="s">
        <v>231</v>
      </c>
      <c r="CE72" s="3" t="s">
        <v>549</v>
      </c>
      <c r="CF72" s="3" t="s">
        <v>167</v>
      </c>
      <c r="CG72" s="3" t="s">
        <v>1075</v>
      </c>
      <c r="CH72" s="3">
        <v>5.0</v>
      </c>
    </row>
    <row r="73" ht="14.25" customHeight="1">
      <c r="A73" s="3">
        <v>44731.9592790741</v>
      </c>
      <c r="B73" s="3" t="s">
        <v>86</v>
      </c>
      <c r="C73" s="3">
        <f t="shared" si="1"/>
        <v>1</v>
      </c>
      <c r="D73" s="3" t="s">
        <v>87</v>
      </c>
      <c r="E73" s="3" t="s">
        <v>88</v>
      </c>
      <c r="F73" s="3">
        <f t="shared" si="2"/>
        <v>1</v>
      </c>
      <c r="G73" s="3" t="s">
        <v>130</v>
      </c>
      <c r="H73" s="3" t="s">
        <v>151</v>
      </c>
      <c r="I73" s="3">
        <v>2.0</v>
      </c>
      <c r="J73" s="3" t="s">
        <v>91</v>
      </c>
      <c r="K73" s="3">
        <f t="shared" si="3"/>
        <v>1</v>
      </c>
      <c r="L73" s="3" t="s">
        <v>133</v>
      </c>
      <c r="M73" s="3">
        <f t="shared" si="4"/>
        <v>0</v>
      </c>
      <c r="N73" s="4"/>
      <c r="O73" s="3" t="s">
        <v>93</v>
      </c>
      <c r="P73" s="3" t="s">
        <v>696</v>
      </c>
      <c r="Q73" s="3">
        <v>1.0</v>
      </c>
      <c r="R73" s="3">
        <v>0.0</v>
      </c>
      <c r="S73" s="3">
        <v>0.0</v>
      </c>
      <c r="T73" s="3">
        <v>0.0</v>
      </c>
      <c r="U73" s="3">
        <v>0.0</v>
      </c>
      <c r="V73" s="3">
        <v>0.0</v>
      </c>
      <c r="W73" s="3">
        <v>1.0</v>
      </c>
      <c r="X73" s="3">
        <v>0.0</v>
      </c>
      <c r="Y73" s="3">
        <v>0.0</v>
      </c>
      <c r="Z73" s="3">
        <v>1.0</v>
      </c>
      <c r="AA73" s="3">
        <v>0.0</v>
      </c>
      <c r="AB73" s="3">
        <v>0.0</v>
      </c>
      <c r="AC73" s="3">
        <v>0.0</v>
      </c>
      <c r="AD73" s="3" t="s">
        <v>247</v>
      </c>
      <c r="AE73" s="5" t="s">
        <v>96</v>
      </c>
      <c r="AF73" s="5">
        <v>0.5</v>
      </c>
      <c r="AG73" s="3" t="s">
        <v>97</v>
      </c>
      <c r="AH73" s="3">
        <v>1.0</v>
      </c>
      <c r="AI73" s="3" t="s">
        <v>1076</v>
      </c>
      <c r="AJ73" s="5" t="s">
        <v>99</v>
      </c>
      <c r="AK73" s="5">
        <v>0.0</v>
      </c>
      <c r="AL73" s="3" t="s">
        <v>1077</v>
      </c>
      <c r="AM73" s="5" t="s">
        <v>101</v>
      </c>
      <c r="AN73" s="5">
        <v>1.0</v>
      </c>
      <c r="AO73" s="3" t="s">
        <v>97</v>
      </c>
      <c r="AP73" s="3">
        <v>1.0</v>
      </c>
      <c r="AQ73" s="3" t="s">
        <v>1078</v>
      </c>
      <c r="AR73" s="5" t="s">
        <v>103</v>
      </c>
      <c r="AS73" s="3">
        <v>1.0</v>
      </c>
      <c r="AT73" s="3" t="s">
        <v>94</v>
      </c>
      <c r="AU73" s="5" t="s">
        <v>104</v>
      </c>
      <c r="AV73" s="5">
        <v>1.0</v>
      </c>
      <c r="AW73" s="3" t="s">
        <v>1079</v>
      </c>
      <c r="AX73" s="5" t="s">
        <v>106</v>
      </c>
      <c r="AY73" s="5">
        <v>0.25</v>
      </c>
      <c r="AZ73" s="3" t="s">
        <v>1080</v>
      </c>
      <c r="BA73" s="5" t="s">
        <v>108</v>
      </c>
      <c r="BB73" s="5">
        <v>0.5</v>
      </c>
      <c r="BC73" s="3" t="s">
        <v>109</v>
      </c>
      <c r="BD73" s="5" t="s">
        <v>110</v>
      </c>
      <c r="BE73" s="3">
        <v>1.0</v>
      </c>
      <c r="BF73" s="3" t="s">
        <v>1081</v>
      </c>
      <c r="BG73" s="5" t="s">
        <v>112</v>
      </c>
      <c r="BH73" s="5">
        <v>0.75</v>
      </c>
      <c r="BI73" s="3" t="s">
        <v>1082</v>
      </c>
      <c r="BJ73" s="5" t="s">
        <v>114</v>
      </c>
      <c r="BK73" s="5">
        <v>1.0</v>
      </c>
      <c r="BL73" s="3" t="s">
        <v>115</v>
      </c>
      <c r="BM73" s="5" t="s">
        <v>116</v>
      </c>
      <c r="BN73" s="5">
        <v>1.0</v>
      </c>
      <c r="BO73" s="3" t="s">
        <v>160</v>
      </c>
      <c r="BP73" s="3"/>
      <c r="BQ73" s="3">
        <v>0.0</v>
      </c>
      <c r="BR73" s="3" t="s">
        <v>161</v>
      </c>
      <c r="BS73" s="5" t="s">
        <v>119</v>
      </c>
      <c r="BT73" s="5">
        <v>1.0</v>
      </c>
      <c r="BU73" s="3" t="s">
        <v>1083</v>
      </c>
      <c r="BV73" s="5" t="s">
        <v>121</v>
      </c>
      <c r="BW73" s="5">
        <v>0.5</v>
      </c>
      <c r="BX73" s="3" t="s">
        <v>1084</v>
      </c>
      <c r="BY73" s="5" t="s">
        <v>123</v>
      </c>
      <c r="BZ73" s="5">
        <v>0.5</v>
      </c>
      <c r="CA73" s="3" t="s">
        <v>97</v>
      </c>
      <c r="CB73" s="3" t="s">
        <v>1085</v>
      </c>
      <c r="CC73" s="3" t="s">
        <v>97</v>
      </c>
      <c r="CD73" s="3" t="s">
        <v>165</v>
      </c>
      <c r="CE73" s="3" t="s">
        <v>1086</v>
      </c>
      <c r="CF73" s="3" t="s">
        <v>97</v>
      </c>
      <c r="CG73" s="3" t="s">
        <v>1087</v>
      </c>
      <c r="CH73" s="3">
        <v>4.0</v>
      </c>
    </row>
    <row r="74" ht="14.25" customHeight="1">
      <c r="A74" s="3">
        <v>44731.9704022917</v>
      </c>
      <c r="B74" s="3" t="s">
        <v>86</v>
      </c>
      <c r="C74" s="3">
        <f t="shared" si="1"/>
        <v>1</v>
      </c>
      <c r="D74" s="3" t="s">
        <v>128</v>
      </c>
      <c r="E74" s="3" t="s">
        <v>129</v>
      </c>
      <c r="F74" s="3">
        <f t="shared" si="2"/>
        <v>3</v>
      </c>
      <c r="G74" s="3" t="s">
        <v>130</v>
      </c>
      <c r="H74" s="3" t="s">
        <v>231</v>
      </c>
      <c r="I74" s="3">
        <v>0.0</v>
      </c>
      <c r="J74" s="3" t="s">
        <v>132</v>
      </c>
      <c r="K74" s="3">
        <f t="shared" si="3"/>
        <v>0</v>
      </c>
      <c r="L74" s="3" t="s">
        <v>133</v>
      </c>
      <c r="M74" s="3">
        <f t="shared" si="4"/>
        <v>0</v>
      </c>
      <c r="N74" s="4"/>
      <c r="O74" s="3" t="s">
        <v>93</v>
      </c>
      <c r="P74" s="3" t="s">
        <v>16</v>
      </c>
      <c r="Q74" s="3">
        <v>1.0</v>
      </c>
      <c r="R74" s="3">
        <v>0.0</v>
      </c>
      <c r="S74" s="3">
        <v>0.0</v>
      </c>
      <c r="T74" s="3">
        <v>0.0</v>
      </c>
      <c r="U74" s="3">
        <v>0.0</v>
      </c>
      <c r="V74" s="3">
        <v>0.0</v>
      </c>
      <c r="W74" s="3">
        <v>0.0</v>
      </c>
      <c r="X74" s="3">
        <v>0.0</v>
      </c>
      <c r="Y74" s="3">
        <v>0.0</v>
      </c>
      <c r="Z74" s="3">
        <v>0.0</v>
      </c>
      <c r="AA74" s="3">
        <v>0.0</v>
      </c>
      <c r="AB74" s="3">
        <v>0.0</v>
      </c>
      <c r="AC74" s="3">
        <v>0.0</v>
      </c>
      <c r="AD74" s="3" t="s">
        <v>1088</v>
      </c>
      <c r="AE74" s="5" t="s">
        <v>96</v>
      </c>
      <c r="AF74" s="5">
        <v>0.5</v>
      </c>
      <c r="AG74" s="3" t="s">
        <v>97</v>
      </c>
      <c r="AH74" s="3">
        <v>1.0</v>
      </c>
      <c r="AI74" s="3" t="s">
        <v>807</v>
      </c>
      <c r="AJ74" s="5" t="s">
        <v>99</v>
      </c>
      <c r="AK74" s="5">
        <v>1.0</v>
      </c>
      <c r="AL74" s="3" t="s">
        <v>1089</v>
      </c>
      <c r="AM74" s="5" t="s">
        <v>101</v>
      </c>
      <c r="AN74" s="5">
        <v>1.0</v>
      </c>
      <c r="AO74" s="3" t="s">
        <v>97</v>
      </c>
      <c r="AP74" s="3">
        <v>1.0</v>
      </c>
      <c r="AQ74" s="3" t="s">
        <v>1090</v>
      </c>
      <c r="AR74" s="5" t="s">
        <v>103</v>
      </c>
      <c r="AS74" s="3">
        <v>1.0</v>
      </c>
      <c r="AT74" s="3" t="s">
        <v>94</v>
      </c>
      <c r="AU74" s="5" t="s">
        <v>104</v>
      </c>
      <c r="AV74" s="5">
        <v>1.0</v>
      </c>
      <c r="AW74" s="3" t="s">
        <v>1091</v>
      </c>
      <c r="AX74" s="5" t="s">
        <v>106</v>
      </c>
      <c r="AY74" s="5">
        <v>0.5</v>
      </c>
      <c r="AZ74" s="3" t="s">
        <v>1092</v>
      </c>
      <c r="BA74" s="5" t="s">
        <v>108</v>
      </c>
      <c r="BB74" s="5">
        <v>0.75</v>
      </c>
      <c r="BC74" s="3" t="s">
        <v>109</v>
      </c>
      <c r="BD74" s="5" t="s">
        <v>110</v>
      </c>
      <c r="BE74" s="3">
        <v>1.0</v>
      </c>
      <c r="BF74" s="3" t="s">
        <v>1093</v>
      </c>
      <c r="BG74" s="5" t="s">
        <v>112</v>
      </c>
      <c r="BH74" s="5">
        <v>0.75</v>
      </c>
      <c r="BI74" s="3" t="s">
        <v>1094</v>
      </c>
      <c r="BJ74" s="5" t="s">
        <v>114</v>
      </c>
      <c r="BK74" s="5">
        <v>1.0</v>
      </c>
      <c r="BL74" s="3" t="s">
        <v>115</v>
      </c>
      <c r="BM74" s="5" t="s">
        <v>116</v>
      </c>
      <c r="BN74" s="5">
        <v>1.0</v>
      </c>
      <c r="BO74" s="3" t="s">
        <v>117</v>
      </c>
      <c r="BP74" s="3"/>
      <c r="BQ74" s="3">
        <v>1.0</v>
      </c>
      <c r="BR74" s="3" t="s">
        <v>1095</v>
      </c>
      <c r="BS74" s="5" t="s">
        <v>119</v>
      </c>
      <c r="BT74" s="5">
        <v>0.5</v>
      </c>
      <c r="BU74" s="3" t="s">
        <v>1096</v>
      </c>
      <c r="BV74" s="5" t="s">
        <v>121</v>
      </c>
      <c r="BW74" s="5">
        <v>0.5</v>
      </c>
      <c r="BX74" s="3" t="s">
        <v>1097</v>
      </c>
      <c r="BY74" s="5" t="s">
        <v>123</v>
      </c>
      <c r="BZ74" s="5">
        <v>0.5</v>
      </c>
      <c r="CA74" s="3" t="s">
        <v>97</v>
      </c>
      <c r="CB74" s="3" t="s">
        <v>1098</v>
      </c>
      <c r="CC74" s="3" t="s">
        <v>97</v>
      </c>
      <c r="CD74" s="3" t="s">
        <v>125</v>
      </c>
      <c r="CE74" s="3" t="s">
        <v>1099</v>
      </c>
      <c r="CF74" s="3" t="s">
        <v>97</v>
      </c>
      <c r="CG74" s="3" t="s">
        <v>1100</v>
      </c>
      <c r="CH74" s="3">
        <v>6.0</v>
      </c>
    </row>
    <row r="75" ht="14.25" customHeight="1">
      <c r="A75" s="3">
        <v>44732.0897209491</v>
      </c>
      <c r="B75" s="3" t="s">
        <v>149</v>
      </c>
      <c r="C75" s="3">
        <f t="shared" si="1"/>
        <v>0</v>
      </c>
      <c r="D75" s="3" t="s">
        <v>87</v>
      </c>
      <c r="E75" s="3" t="s">
        <v>88</v>
      </c>
      <c r="F75" s="3">
        <f t="shared" si="2"/>
        <v>1</v>
      </c>
      <c r="G75" s="3" t="s">
        <v>881</v>
      </c>
      <c r="H75" s="3" t="s">
        <v>151</v>
      </c>
      <c r="I75" s="3">
        <v>2.0</v>
      </c>
      <c r="J75" s="3" t="s">
        <v>91</v>
      </c>
      <c r="K75" s="3">
        <f t="shared" si="3"/>
        <v>1</v>
      </c>
      <c r="L75" s="3" t="s">
        <v>133</v>
      </c>
      <c r="M75" s="3">
        <f t="shared" si="4"/>
        <v>0</v>
      </c>
      <c r="N75" s="4"/>
      <c r="O75" s="3" t="s">
        <v>93</v>
      </c>
      <c r="P75" s="3" t="s">
        <v>1101</v>
      </c>
      <c r="Q75" s="3">
        <v>1.0</v>
      </c>
      <c r="R75" s="3">
        <v>1.0</v>
      </c>
      <c r="S75" s="3">
        <v>0.0</v>
      </c>
      <c r="T75" s="3">
        <v>0.0</v>
      </c>
      <c r="U75" s="3">
        <v>0.0</v>
      </c>
      <c r="V75" s="3">
        <v>0.0</v>
      </c>
      <c r="W75" s="3">
        <v>1.0</v>
      </c>
      <c r="X75" s="3">
        <v>0.0</v>
      </c>
      <c r="Y75" s="3">
        <v>0.0</v>
      </c>
      <c r="Z75" s="3">
        <v>1.0</v>
      </c>
      <c r="AA75" s="3">
        <v>0.0</v>
      </c>
      <c r="AB75" s="3">
        <v>0.0</v>
      </c>
      <c r="AC75" s="3">
        <v>0.0</v>
      </c>
      <c r="AD75" s="3" t="s">
        <v>1102</v>
      </c>
      <c r="AE75" s="5" t="s">
        <v>96</v>
      </c>
      <c r="AF75" s="5">
        <v>0.5</v>
      </c>
      <c r="AG75" s="3" t="s">
        <v>97</v>
      </c>
      <c r="AH75" s="3">
        <v>1.0</v>
      </c>
      <c r="AI75" s="3" t="s">
        <v>1103</v>
      </c>
      <c r="AJ75" s="5" t="s">
        <v>99</v>
      </c>
      <c r="AK75" s="5">
        <v>0.0</v>
      </c>
      <c r="AL75" s="3" t="s">
        <v>1104</v>
      </c>
      <c r="AM75" s="5" t="s">
        <v>101</v>
      </c>
      <c r="AN75" s="5">
        <v>0.75</v>
      </c>
      <c r="AO75" s="3" t="s">
        <v>97</v>
      </c>
      <c r="AP75" s="3">
        <v>1.0</v>
      </c>
      <c r="AQ75" s="3" t="s">
        <v>1105</v>
      </c>
      <c r="AR75" s="5" t="s">
        <v>103</v>
      </c>
      <c r="AS75" s="3">
        <v>1.0</v>
      </c>
      <c r="AT75" s="3" t="s">
        <v>292</v>
      </c>
      <c r="AU75" s="5" t="s">
        <v>104</v>
      </c>
      <c r="AV75" s="5">
        <v>0.5</v>
      </c>
      <c r="AW75" s="3" t="s">
        <v>1106</v>
      </c>
      <c r="AX75" s="5" t="s">
        <v>106</v>
      </c>
      <c r="AY75" s="5">
        <v>0.25</v>
      </c>
      <c r="AZ75" s="3" t="s">
        <v>1107</v>
      </c>
      <c r="BA75" s="5" t="s">
        <v>108</v>
      </c>
      <c r="BB75" s="5">
        <v>0.75</v>
      </c>
      <c r="BC75" s="3" t="s">
        <v>109</v>
      </c>
      <c r="BD75" s="5" t="s">
        <v>110</v>
      </c>
      <c r="BE75" s="3">
        <v>1.0</v>
      </c>
      <c r="BF75" s="3" t="s">
        <v>1108</v>
      </c>
      <c r="BG75" s="5" t="s">
        <v>112</v>
      </c>
      <c r="BH75" s="5">
        <v>0.0</v>
      </c>
      <c r="BI75" s="3" t="s">
        <v>1109</v>
      </c>
      <c r="BJ75" s="5" t="s">
        <v>114</v>
      </c>
      <c r="BK75" s="5">
        <v>1.0</v>
      </c>
      <c r="BL75" s="3" t="s">
        <v>115</v>
      </c>
      <c r="BM75" s="5" t="s">
        <v>116</v>
      </c>
      <c r="BN75" s="5">
        <v>1.0</v>
      </c>
      <c r="BO75" s="3" t="s">
        <v>160</v>
      </c>
      <c r="BP75" s="3"/>
      <c r="BQ75" s="3">
        <v>0.0</v>
      </c>
      <c r="BR75" s="3" t="s">
        <v>492</v>
      </c>
      <c r="BS75" s="5" t="s">
        <v>119</v>
      </c>
      <c r="BT75" s="5">
        <v>0.5</v>
      </c>
      <c r="BU75" s="3" t="s">
        <v>761</v>
      </c>
      <c r="BV75" s="5" t="s">
        <v>121</v>
      </c>
      <c r="BW75" s="5">
        <v>0.0</v>
      </c>
      <c r="BX75" s="3" t="s">
        <v>1110</v>
      </c>
      <c r="BY75" s="5" t="s">
        <v>123</v>
      </c>
      <c r="BZ75" s="5">
        <v>0.25</v>
      </c>
      <c r="CA75" s="3" t="s">
        <v>97</v>
      </c>
      <c r="CB75" s="3" t="s">
        <v>1111</v>
      </c>
      <c r="CC75" s="3" t="s">
        <v>167</v>
      </c>
      <c r="CD75" s="3" t="s">
        <v>231</v>
      </c>
      <c r="CE75" s="3" t="s">
        <v>549</v>
      </c>
      <c r="CF75" s="3" t="s">
        <v>167</v>
      </c>
      <c r="CG75" s="3" t="s">
        <v>1112</v>
      </c>
      <c r="CH75" s="3">
        <v>5.0</v>
      </c>
    </row>
    <row r="76" ht="14.25" customHeight="1">
      <c r="A76" s="3">
        <v>44732.0965070023</v>
      </c>
      <c r="B76" s="3" t="s">
        <v>149</v>
      </c>
      <c r="C76" s="3">
        <f t="shared" si="1"/>
        <v>0</v>
      </c>
      <c r="D76" s="3" t="s">
        <v>128</v>
      </c>
      <c r="E76" s="3" t="s">
        <v>129</v>
      </c>
      <c r="F76" s="3">
        <f t="shared" si="2"/>
        <v>3</v>
      </c>
      <c r="G76" s="3" t="s">
        <v>1113</v>
      </c>
      <c r="H76" s="3" t="s">
        <v>131</v>
      </c>
      <c r="I76" s="3">
        <v>1.0</v>
      </c>
      <c r="J76" s="3" t="s">
        <v>91</v>
      </c>
      <c r="K76" s="3">
        <f t="shared" si="3"/>
        <v>1</v>
      </c>
      <c r="L76" s="3" t="s">
        <v>133</v>
      </c>
      <c r="M76" s="3">
        <f t="shared" si="4"/>
        <v>0</v>
      </c>
      <c r="N76" s="4"/>
      <c r="O76" s="3" t="s">
        <v>93</v>
      </c>
      <c r="P76" s="3" t="s">
        <v>1114</v>
      </c>
      <c r="Q76" s="3">
        <v>1.0</v>
      </c>
      <c r="R76" s="3">
        <v>0.0</v>
      </c>
      <c r="S76" s="3">
        <v>0.0</v>
      </c>
      <c r="T76" s="3">
        <v>1.0</v>
      </c>
      <c r="U76" s="3">
        <v>1.0</v>
      </c>
      <c r="V76" s="3">
        <v>0.0</v>
      </c>
      <c r="W76" s="3">
        <v>0.0</v>
      </c>
      <c r="X76" s="3">
        <v>0.0</v>
      </c>
      <c r="Y76" s="3">
        <v>0.0</v>
      </c>
      <c r="Z76" s="3">
        <v>1.0</v>
      </c>
      <c r="AA76" s="3">
        <v>0.0</v>
      </c>
      <c r="AB76" s="3">
        <v>0.0</v>
      </c>
      <c r="AC76" s="3">
        <v>0.0</v>
      </c>
      <c r="AD76" s="3" t="s">
        <v>1115</v>
      </c>
      <c r="AE76" s="5" t="s">
        <v>96</v>
      </c>
      <c r="AF76" s="5">
        <v>0.0</v>
      </c>
      <c r="AG76" s="3" t="s">
        <v>97</v>
      </c>
      <c r="AH76" s="3">
        <v>1.0</v>
      </c>
      <c r="AI76" s="3" t="s">
        <v>612</v>
      </c>
      <c r="AJ76" s="5" t="s">
        <v>99</v>
      </c>
      <c r="AK76" s="5">
        <v>1.0</v>
      </c>
      <c r="AL76" s="3" t="s">
        <v>1116</v>
      </c>
      <c r="AM76" s="5" t="s">
        <v>101</v>
      </c>
      <c r="AN76" s="5">
        <v>0.5</v>
      </c>
      <c r="AO76" s="3" t="s">
        <v>97</v>
      </c>
      <c r="AP76" s="3">
        <v>1.0</v>
      </c>
      <c r="AQ76" s="3" t="s">
        <v>1117</v>
      </c>
      <c r="AR76" s="5" t="s">
        <v>103</v>
      </c>
      <c r="AS76" s="3">
        <v>1.0</v>
      </c>
      <c r="AT76" s="3" t="s">
        <v>94</v>
      </c>
      <c r="AU76" s="5" t="s">
        <v>104</v>
      </c>
      <c r="AV76" s="5">
        <v>1.0</v>
      </c>
      <c r="AW76" s="3" t="s">
        <v>1118</v>
      </c>
      <c r="AX76" s="5" t="s">
        <v>106</v>
      </c>
      <c r="AY76" s="5">
        <v>0.5</v>
      </c>
      <c r="AZ76" s="3" t="s">
        <v>1119</v>
      </c>
      <c r="BA76" s="5" t="s">
        <v>108</v>
      </c>
      <c r="BB76" s="5">
        <v>0.75</v>
      </c>
      <c r="BC76" s="3" t="s">
        <v>109</v>
      </c>
      <c r="BD76" s="5" t="s">
        <v>110</v>
      </c>
      <c r="BE76" s="3">
        <v>1.0</v>
      </c>
      <c r="BF76" s="3" t="s">
        <v>1120</v>
      </c>
      <c r="BG76" s="5" t="s">
        <v>112</v>
      </c>
      <c r="BH76" s="5">
        <v>0.5</v>
      </c>
      <c r="BI76" s="3" t="s">
        <v>1121</v>
      </c>
      <c r="BJ76" s="5" t="s">
        <v>114</v>
      </c>
      <c r="BK76" s="5">
        <v>1.0</v>
      </c>
      <c r="BL76" s="3" t="s">
        <v>1122</v>
      </c>
      <c r="BM76" s="5" t="s">
        <v>116</v>
      </c>
      <c r="BN76" s="5">
        <v>1.0</v>
      </c>
      <c r="BO76" s="3" t="s">
        <v>117</v>
      </c>
      <c r="BP76" s="3"/>
      <c r="BQ76" s="3">
        <v>1.0</v>
      </c>
      <c r="BR76" s="3" t="s">
        <v>118</v>
      </c>
      <c r="BS76" s="5" t="s">
        <v>119</v>
      </c>
      <c r="BT76" s="5">
        <v>0.5</v>
      </c>
      <c r="BU76" s="3" t="s">
        <v>761</v>
      </c>
      <c r="BV76" s="5" t="s">
        <v>121</v>
      </c>
      <c r="BW76" s="5">
        <v>0.0</v>
      </c>
      <c r="BX76" s="3" t="s">
        <v>1123</v>
      </c>
      <c r="BY76" s="5" t="s">
        <v>123</v>
      </c>
      <c r="BZ76" s="5">
        <v>0.5</v>
      </c>
      <c r="CA76" s="3" t="s">
        <v>97</v>
      </c>
      <c r="CB76" s="3" t="s">
        <v>1124</v>
      </c>
      <c r="CC76" s="3" t="s">
        <v>97</v>
      </c>
      <c r="CD76" s="3" t="s">
        <v>125</v>
      </c>
      <c r="CE76" s="3" t="s">
        <v>1125</v>
      </c>
      <c r="CF76" s="3" t="s">
        <v>97</v>
      </c>
      <c r="CG76" s="3" t="s">
        <v>1126</v>
      </c>
      <c r="CH76" s="3">
        <v>6.0</v>
      </c>
    </row>
    <row r="77" ht="14.25" customHeight="1">
      <c r="A77" s="3">
        <v>44732.1038993519</v>
      </c>
      <c r="B77" s="3" t="s">
        <v>149</v>
      </c>
      <c r="C77" s="3">
        <f t="shared" si="1"/>
        <v>0</v>
      </c>
      <c r="D77" s="3" t="s">
        <v>393</v>
      </c>
      <c r="E77" s="3" t="s">
        <v>394</v>
      </c>
      <c r="F77" s="3">
        <f t="shared" si="2"/>
        <v>0</v>
      </c>
      <c r="G77" s="3" t="s">
        <v>791</v>
      </c>
      <c r="H77" s="3" t="s">
        <v>1127</v>
      </c>
      <c r="I77" s="3">
        <v>3.0</v>
      </c>
      <c r="J77" s="3" t="s">
        <v>91</v>
      </c>
      <c r="K77" s="3">
        <f t="shared" si="3"/>
        <v>1</v>
      </c>
      <c r="L77" s="3" t="s">
        <v>133</v>
      </c>
      <c r="M77" s="3">
        <f t="shared" si="4"/>
        <v>0</v>
      </c>
      <c r="N77" s="4"/>
      <c r="O77" s="3" t="s">
        <v>93</v>
      </c>
      <c r="P77" s="3" t="s">
        <v>753</v>
      </c>
      <c r="Q77" s="3">
        <v>0.0</v>
      </c>
      <c r="R77" s="3">
        <v>0.0</v>
      </c>
      <c r="S77" s="3">
        <v>0.0</v>
      </c>
      <c r="T77" s="3">
        <v>0.0</v>
      </c>
      <c r="U77" s="3">
        <v>0.0</v>
      </c>
      <c r="V77" s="3">
        <v>1.0</v>
      </c>
      <c r="W77" s="3">
        <v>0.0</v>
      </c>
      <c r="X77" s="3">
        <v>0.0</v>
      </c>
      <c r="Y77" s="3">
        <v>0.0</v>
      </c>
      <c r="Z77" s="3">
        <v>0.0</v>
      </c>
      <c r="AA77" s="3">
        <v>0.0</v>
      </c>
      <c r="AB77" s="3">
        <v>0.0</v>
      </c>
      <c r="AC77" s="3">
        <v>0.0</v>
      </c>
      <c r="AD77" s="3" t="s">
        <v>1128</v>
      </c>
      <c r="AE77" s="5" t="s">
        <v>96</v>
      </c>
      <c r="AF77" s="5">
        <v>0.25</v>
      </c>
      <c r="AG77" s="3" t="s">
        <v>97</v>
      </c>
      <c r="AH77" s="3">
        <v>1.0</v>
      </c>
      <c r="AI77" s="3" t="s">
        <v>1129</v>
      </c>
      <c r="AJ77" s="5" t="s">
        <v>99</v>
      </c>
      <c r="AK77" s="5">
        <v>0.0</v>
      </c>
      <c r="AL77" s="3" t="s">
        <v>1130</v>
      </c>
      <c r="AM77" s="5" t="s">
        <v>101</v>
      </c>
      <c r="AN77" s="5">
        <v>0.5</v>
      </c>
      <c r="AO77" s="3" t="s">
        <v>97</v>
      </c>
      <c r="AP77" s="3">
        <v>1.0</v>
      </c>
      <c r="AQ77" s="3" t="s">
        <v>1131</v>
      </c>
      <c r="AR77" s="5" t="s">
        <v>103</v>
      </c>
      <c r="AS77" s="3">
        <v>1.0</v>
      </c>
      <c r="AT77" s="3" t="s">
        <v>1132</v>
      </c>
      <c r="AU77" s="5" t="s">
        <v>104</v>
      </c>
      <c r="AV77" s="5">
        <v>0.75</v>
      </c>
      <c r="AW77" s="3" t="s">
        <v>1133</v>
      </c>
      <c r="AX77" s="5" t="s">
        <v>106</v>
      </c>
      <c r="AY77" s="5">
        <v>0.25</v>
      </c>
      <c r="AZ77" s="3" t="s">
        <v>1134</v>
      </c>
      <c r="BA77" s="5" t="s">
        <v>108</v>
      </c>
      <c r="BB77" s="5">
        <v>0.75</v>
      </c>
      <c r="BC77" s="3" t="s">
        <v>109</v>
      </c>
      <c r="BD77" s="5" t="s">
        <v>110</v>
      </c>
      <c r="BE77" s="3">
        <v>1.0</v>
      </c>
      <c r="BF77" s="3" t="s">
        <v>1135</v>
      </c>
      <c r="BG77" s="5" t="s">
        <v>112</v>
      </c>
      <c r="BH77" s="5">
        <v>0.0</v>
      </c>
      <c r="BI77" s="3" t="s">
        <v>1136</v>
      </c>
      <c r="BJ77" s="5" t="s">
        <v>114</v>
      </c>
      <c r="BK77" s="5">
        <v>1.0</v>
      </c>
      <c r="BL77" s="3" t="s">
        <v>115</v>
      </c>
      <c r="BM77" s="5" t="s">
        <v>116</v>
      </c>
      <c r="BN77" s="5">
        <v>1.0</v>
      </c>
      <c r="BO77" s="3" t="s">
        <v>211</v>
      </c>
      <c r="BP77" s="3"/>
      <c r="BQ77" s="3">
        <v>1.0</v>
      </c>
      <c r="BR77" s="3" t="s">
        <v>227</v>
      </c>
      <c r="BS77" s="5" t="s">
        <v>119</v>
      </c>
      <c r="BT77" s="5">
        <v>0.5</v>
      </c>
      <c r="BU77" s="3" t="s">
        <v>1137</v>
      </c>
      <c r="BV77" s="5" t="s">
        <v>121</v>
      </c>
      <c r="BW77" s="5">
        <v>0.5</v>
      </c>
      <c r="BX77" s="3" t="s">
        <v>1138</v>
      </c>
      <c r="BY77" s="5" t="s">
        <v>123</v>
      </c>
      <c r="BZ77" s="5">
        <v>0.5</v>
      </c>
      <c r="CA77" s="3" t="s">
        <v>97</v>
      </c>
      <c r="CB77" s="3" t="s">
        <v>1139</v>
      </c>
      <c r="CC77" s="3" t="s">
        <v>97</v>
      </c>
      <c r="CD77" s="3" t="s">
        <v>165</v>
      </c>
      <c r="CE77" s="3" t="s">
        <v>126</v>
      </c>
      <c r="CF77" s="3" t="s">
        <v>97</v>
      </c>
      <c r="CG77" s="3" t="s">
        <v>1140</v>
      </c>
      <c r="CH77" s="3">
        <v>5.0</v>
      </c>
    </row>
    <row r="78" ht="14.25" customHeight="1">
      <c r="A78" s="3">
        <v>44732.1107946528</v>
      </c>
      <c r="B78" s="3" t="s">
        <v>149</v>
      </c>
      <c r="C78" s="3">
        <f t="shared" si="1"/>
        <v>0</v>
      </c>
      <c r="D78" s="3" t="s">
        <v>169</v>
      </c>
      <c r="E78" s="3" t="s">
        <v>170</v>
      </c>
      <c r="F78" s="3">
        <f t="shared" si="2"/>
        <v>2</v>
      </c>
      <c r="G78" s="3" t="s">
        <v>150</v>
      </c>
      <c r="H78" s="3" t="s">
        <v>131</v>
      </c>
      <c r="I78" s="3">
        <v>1.0</v>
      </c>
      <c r="J78" s="3" t="s">
        <v>132</v>
      </c>
      <c r="K78" s="3">
        <f t="shared" si="3"/>
        <v>0</v>
      </c>
      <c r="L78" s="3" t="s">
        <v>133</v>
      </c>
      <c r="M78" s="3">
        <f t="shared" si="4"/>
        <v>0</v>
      </c>
      <c r="N78" s="4"/>
      <c r="O78" s="3" t="s">
        <v>93</v>
      </c>
      <c r="P78" s="3" t="s">
        <v>25</v>
      </c>
      <c r="Q78" s="3">
        <v>0.0</v>
      </c>
      <c r="R78" s="3">
        <v>0.0</v>
      </c>
      <c r="S78" s="3">
        <v>0.0</v>
      </c>
      <c r="T78" s="3">
        <v>0.0</v>
      </c>
      <c r="U78" s="3">
        <v>0.0</v>
      </c>
      <c r="V78" s="3">
        <v>0.0</v>
      </c>
      <c r="W78" s="3">
        <v>0.0</v>
      </c>
      <c r="X78" s="3">
        <v>0.0</v>
      </c>
      <c r="Y78" s="3">
        <v>0.0</v>
      </c>
      <c r="Z78" s="3">
        <v>1.0</v>
      </c>
      <c r="AA78" s="3">
        <v>0.0</v>
      </c>
      <c r="AB78" s="3">
        <v>0.0</v>
      </c>
      <c r="AC78" s="3">
        <v>0.0</v>
      </c>
      <c r="AD78" s="3" t="s">
        <v>1141</v>
      </c>
      <c r="AE78" s="5" t="s">
        <v>96</v>
      </c>
      <c r="AF78" s="5">
        <v>0.25</v>
      </c>
      <c r="AG78" s="3" t="s">
        <v>97</v>
      </c>
      <c r="AH78" s="3">
        <v>1.0</v>
      </c>
      <c r="AI78" s="3" t="s">
        <v>1142</v>
      </c>
      <c r="AJ78" s="5" t="s">
        <v>99</v>
      </c>
      <c r="AK78" s="5">
        <v>1.0</v>
      </c>
      <c r="AL78" s="3" t="s">
        <v>1143</v>
      </c>
      <c r="AM78" s="5" t="s">
        <v>101</v>
      </c>
      <c r="AN78" s="5">
        <v>0.75</v>
      </c>
      <c r="AO78" s="3" t="s">
        <v>167</v>
      </c>
      <c r="AP78" s="3">
        <v>0.0</v>
      </c>
      <c r="AQ78" s="3" t="s">
        <v>1144</v>
      </c>
      <c r="AR78" s="5" t="s">
        <v>103</v>
      </c>
      <c r="AS78" s="3">
        <v>1.0</v>
      </c>
      <c r="AT78" s="3" t="s">
        <v>94</v>
      </c>
      <c r="AU78" s="5" t="s">
        <v>104</v>
      </c>
      <c r="AV78" s="5">
        <v>1.0</v>
      </c>
      <c r="AW78" s="3" t="s">
        <v>1145</v>
      </c>
      <c r="AX78" s="5" t="s">
        <v>106</v>
      </c>
      <c r="AY78" s="5">
        <v>0.25</v>
      </c>
      <c r="AZ78" s="3" t="s">
        <v>1146</v>
      </c>
      <c r="BA78" s="5" t="s">
        <v>108</v>
      </c>
      <c r="BB78" s="5">
        <v>0.5</v>
      </c>
      <c r="BC78" s="3" t="s">
        <v>109</v>
      </c>
      <c r="BD78" s="5" t="s">
        <v>110</v>
      </c>
      <c r="BE78" s="3">
        <v>1.0</v>
      </c>
      <c r="BF78" s="3" t="s">
        <v>1147</v>
      </c>
      <c r="BG78" s="5" t="s">
        <v>112</v>
      </c>
      <c r="BH78" s="5">
        <v>0.5</v>
      </c>
      <c r="BI78" s="3" t="s">
        <v>1148</v>
      </c>
      <c r="BJ78" s="5" t="s">
        <v>114</v>
      </c>
      <c r="BK78" s="5">
        <v>1.0</v>
      </c>
      <c r="BL78" s="3" t="s">
        <v>115</v>
      </c>
      <c r="BM78" s="5" t="s">
        <v>116</v>
      </c>
      <c r="BN78" s="5">
        <v>1.0</v>
      </c>
      <c r="BO78" s="3" t="s">
        <v>211</v>
      </c>
      <c r="BP78" s="3"/>
      <c r="BQ78" s="3">
        <v>1.0</v>
      </c>
      <c r="BR78" s="3" t="s">
        <v>161</v>
      </c>
      <c r="BS78" s="5" t="s">
        <v>119</v>
      </c>
      <c r="BT78" s="5">
        <v>1.0</v>
      </c>
      <c r="BU78" s="3" t="s">
        <v>1149</v>
      </c>
      <c r="BV78" s="5" t="s">
        <v>121</v>
      </c>
      <c r="BW78" s="5">
        <v>0.5</v>
      </c>
      <c r="BX78" s="3" t="s">
        <v>1150</v>
      </c>
      <c r="BY78" s="5" t="s">
        <v>123</v>
      </c>
      <c r="BZ78" s="5">
        <v>0.5</v>
      </c>
      <c r="CA78" s="3" t="s">
        <v>97</v>
      </c>
      <c r="CB78" s="3" t="s">
        <v>1151</v>
      </c>
      <c r="CC78" s="3" t="s">
        <v>97</v>
      </c>
      <c r="CD78" s="3" t="s">
        <v>165</v>
      </c>
      <c r="CE78" s="3" t="s">
        <v>1152</v>
      </c>
      <c r="CF78" s="3" t="s">
        <v>97</v>
      </c>
      <c r="CG78" s="3" t="s">
        <v>1153</v>
      </c>
      <c r="CH78" s="3">
        <v>5.0</v>
      </c>
    </row>
    <row r="79" ht="14.25" customHeight="1">
      <c r="A79" s="3">
        <v>44732.1171765046</v>
      </c>
      <c r="B79" s="3" t="s">
        <v>86</v>
      </c>
      <c r="C79" s="3">
        <f t="shared" si="1"/>
        <v>1</v>
      </c>
      <c r="D79" s="3" t="s">
        <v>87</v>
      </c>
      <c r="E79" s="3" t="s">
        <v>88</v>
      </c>
      <c r="F79" s="3">
        <f t="shared" si="2"/>
        <v>1</v>
      </c>
      <c r="G79" s="3" t="s">
        <v>724</v>
      </c>
      <c r="H79" s="3" t="s">
        <v>259</v>
      </c>
      <c r="I79" s="3">
        <v>1.0</v>
      </c>
      <c r="J79" s="3" t="s">
        <v>91</v>
      </c>
      <c r="K79" s="3">
        <f t="shared" si="3"/>
        <v>1</v>
      </c>
      <c r="L79" s="3" t="s">
        <v>133</v>
      </c>
      <c r="M79" s="3">
        <f t="shared" si="4"/>
        <v>0</v>
      </c>
      <c r="N79" s="4"/>
      <c r="O79" s="3" t="s">
        <v>93</v>
      </c>
      <c r="P79" s="3" t="s">
        <v>16</v>
      </c>
      <c r="Q79" s="3">
        <v>1.0</v>
      </c>
      <c r="R79" s="3">
        <v>0.0</v>
      </c>
      <c r="S79" s="3">
        <v>0.0</v>
      </c>
      <c r="T79" s="3">
        <v>0.0</v>
      </c>
      <c r="U79" s="3">
        <v>0.0</v>
      </c>
      <c r="V79" s="3">
        <v>0.0</v>
      </c>
      <c r="W79" s="3">
        <v>0.0</v>
      </c>
      <c r="X79" s="3">
        <v>0.0</v>
      </c>
      <c r="Y79" s="3">
        <v>0.0</v>
      </c>
      <c r="Z79" s="3">
        <v>0.0</v>
      </c>
      <c r="AA79" s="3">
        <v>0.0</v>
      </c>
      <c r="AB79" s="3">
        <v>0.0</v>
      </c>
      <c r="AC79" s="3">
        <v>0.0</v>
      </c>
      <c r="AD79" s="3" t="s">
        <v>1154</v>
      </c>
      <c r="AE79" s="5" t="s">
        <v>96</v>
      </c>
      <c r="AF79" s="5">
        <v>0.25</v>
      </c>
      <c r="AG79" s="3" t="s">
        <v>97</v>
      </c>
      <c r="AH79" s="3">
        <v>1.0</v>
      </c>
      <c r="AI79" s="3" t="s">
        <v>975</v>
      </c>
      <c r="AJ79" s="5" t="s">
        <v>99</v>
      </c>
      <c r="AK79" s="5">
        <v>1.0</v>
      </c>
      <c r="AL79" s="3" t="s">
        <v>1155</v>
      </c>
      <c r="AM79" s="5" t="s">
        <v>101</v>
      </c>
      <c r="AN79" s="5">
        <v>1.0</v>
      </c>
      <c r="AO79" s="3" t="s">
        <v>97</v>
      </c>
      <c r="AP79" s="3">
        <v>1.0</v>
      </c>
      <c r="AQ79" s="3" t="s">
        <v>1156</v>
      </c>
      <c r="AR79" s="5" t="s">
        <v>103</v>
      </c>
      <c r="AS79" s="3">
        <v>1.0</v>
      </c>
      <c r="AT79" s="3" t="s">
        <v>848</v>
      </c>
      <c r="AU79" s="5" t="s">
        <v>104</v>
      </c>
      <c r="AV79" s="5">
        <v>1.0</v>
      </c>
      <c r="AW79" s="3" t="s">
        <v>1157</v>
      </c>
      <c r="AX79" s="5" t="s">
        <v>106</v>
      </c>
      <c r="AY79" s="5">
        <v>0.25</v>
      </c>
      <c r="AZ79" s="3" t="s">
        <v>1158</v>
      </c>
      <c r="BA79" s="5" t="s">
        <v>108</v>
      </c>
      <c r="BB79" s="5">
        <v>0.75</v>
      </c>
      <c r="BC79" s="3" t="s">
        <v>109</v>
      </c>
      <c r="BD79" s="5" t="s">
        <v>110</v>
      </c>
      <c r="BE79" s="3">
        <v>1.0</v>
      </c>
      <c r="BF79" s="3" t="s">
        <v>1159</v>
      </c>
      <c r="BG79" s="5" t="s">
        <v>112</v>
      </c>
      <c r="BH79" s="5">
        <v>0.5</v>
      </c>
      <c r="BI79" s="3" t="s">
        <v>1160</v>
      </c>
      <c r="BJ79" s="5" t="s">
        <v>114</v>
      </c>
      <c r="BK79" s="5">
        <v>1.0</v>
      </c>
      <c r="BL79" s="3" t="s">
        <v>115</v>
      </c>
      <c r="BM79" s="5" t="s">
        <v>116</v>
      </c>
      <c r="BN79" s="5">
        <v>1.0</v>
      </c>
      <c r="BO79" s="3" t="s">
        <v>117</v>
      </c>
      <c r="BP79" s="3"/>
      <c r="BQ79" s="3">
        <v>1.0</v>
      </c>
      <c r="BR79" s="3" t="s">
        <v>181</v>
      </c>
      <c r="BS79" s="5" t="s">
        <v>119</v>
      </c>
      <c r="BT79" s="5">
        <v>1.0</v>
      </c>
      <c r="BU79" s="3" t="s">
        <v>1161</v>
      </c>
      <c r="BV79" s="5" t="s">
        <v>121</v>
      </c>
      <c r="BW79" s="5">
        <v>0.5</v>
      </c>
      <c r="BX79" s="3" t="s">
        <v>1162</v>
      </c>
      <c r="BY79" s="5" t="s">
        <v>123</v>
      </c>
      <c r="BZ79" s="5">
        <v>0.5</v>
      </c>
      <c r="CA79" s="3" t="s">
        <v>97</v>
      </c>
      <c r="CB79" s="3" t="s">
        <v>1163</v>
      </c>
      <c r="CC79" s="3" t="s">
        <v>97</v>
      </c>
      <c r="CD79" s="3" t="s">
        <v>165</v>
      </c>
      <c r="CE79" s="3" t="s">
        <v>1164</v>
      </c>
      <c r="CF79" s="3" t="s">
        <v>97</v>
      </c>
      <c r="CG79" s="3" t="s">
        <v>1165</v>
      </c>
      <c r="CH79" s="3">
        <v>6.0</v>
      </c>
    </row>
    <row r="80" ht="14.25" customHeight="1">
      <c r="A80" s="3">
        <v>44732.1231961227</v>
      </c>
      <c r="B80" s="3" t="s">
        <v>149</v>
      </c>
      <c r="C80" s="3">
        <f t="shared" si="1"/>
        <v>0</v>
      </c>
      <c r="D80" s="3" t="s">
        <v>87</v>
      </c>
      <c r="E80" s="3" t="s">
        <v>88</v>
      </c>
      <c r="F80" s="3">
        <f t="shared" si="2"/>
        <v>1</v>
      </c>
      <c r="G80" s="3" t="s">
        <v>150</v>
      </c>
      <c r="H80" s="3" t="s">
        <v>151</v>
      </c>
      <c r="I80" s="3">
        <v>2.0</v>
      </c>
      <c r="J80" s="3" t="s">
        <v>91</v>
      </c>
      <c r="K80" s="3">
        <f t="shared" si="3"/>
        <v>1</v>
      </c>
      <c r="L80" s="3" t="s">
        <v>133</v>
      </c>
      <c r="M80" s="3">
        <f t="shared" si="4"/>
        <v>0</v>
      </c>
      <c r="N80" s="4"/>
      <c r="O80" s="3" t="s">
        <v>93</v>
      </c>
      <c r="P80" s="3" t="s">
        <v>725</v>
      </c>
      <c r="Q80" s="3">
        <v>1.0</v>
      </c>
      <c r="R80" s="3">
        <v>0.0</v>
      </c>
      <c r="S80" s="3">
        <v>0.0</v>
      </c>
      <c r="T80" s="3">
        <v>0.0</v>
      </c>
      <c r="U80" s="3">
        <v>0.0</v>
      </c>
      <c r="V80" s="3">
        <v>1.0</v>
      </c>
      <c r="W80" s="3">
        <v>0.0</v>
      </c>
      <c r="X80" s="3">
        <v>0.0</v>
      </c>
      <c r="Y80" s="3">
        <v>0.0</v>
      </c>
      <c r="Z80" s="3">
        <v>0.0</v>
      </c>
      <c r="AA80" s="3">
        <v>0.0</v>
      </c>
      <c r="AB80" s="3">
        <v>0.0</v>
      </c>
      <c r="AC80" s="3">
        <v>0.0</v>
      </c>
      <c r="AD80" s="3" t="s">
        <v>1166</v>
      </c>
      <c r="AE80" s="5" t="s">
        <v>96</v>
      </c>
      <c r="AF80" s="5">
        <v>0.25</v>
      </c>
      <c r="AG80" s="3" t="s">
        <v>97</v>
      </c>
      <c r="AH80" s="3">
        <v>1.0</v>
      </c>
      <c r="AI80" s="3" t="s">
        <v>768</v>
      </c>
      <c r="AJ80" s="5" t="s">
        <v>99</v>
      </c>
      <c r="AK80" s="5">
        <v>1.0</v>
      </c>
      <c r="AL80" s="3" t="s">
        <v>1167</v>
      </c>
      <c r="AM80" s="5" t="s">
        <v>101</v>
      </c>
      <c r="AN80" s="5">
        <v>0.5</v>
      </c>
      <c r="AO80" s="3" t="s">
        <v>97</v>
      </c>
      <c r="AP80" s="3">
        <v>1.0</v>
      </c>
      <c r="AQ80" s="3" t="s">
        <v>1168</v>
      </c>
      <c r="AR80" s="5" t="s">
        <v>103</v>
      </c>
      <c r="AS80" s="3">
        <v>1.0</v>
      </c>
      <c r="AT80" s="3" t="s">
        <v>94</v>
      </c>
      <c r="AU80" s="5" t="s">
        <v>104</v>
      </c>
      <c r="AV80" s="5">
        <v>1.0</v>
      </c>
      <c r="AW80" s="3" t="s">
        <v>1169</v>
      </c>
      <c r="AX80" s="5" t="s">
        <v>106</v>
      </c>
      <c r="AY80" s="5">
        <v>0.25</v>
      </c>
      <c r="AZ80" s="3" t="s">
        <v>1170</v>
      </c>
      <c r="BA80" s="5" t="s">
        <v>108</v>
      </c>
      <c r="BB80" s="5">
        <v>0.5</v>
      </c>
      <c r="BC80" s="3" t="s">
        <v>109</v>
      </c>
      <c r="BD80" s="5" t="s">
        <v>110</v>
      </c>
      <c r="BE80" s="3">
        <v>1.0</v>
      </c>
      <c r="BF80" s="3" t="s">
        <v>1171</v>
      </c>
      <c r="BG80" s="5" t="s">
        <v>112</v>
      </c>
      <c r="BH80" s="5">
        <v>0.5</v>
      </c>
      <c r="BI80" s="3" t="s">
        <v>1172</v>
      </c>
      <c r="BJ80" s="5" t="s">
        <v>114</v>
      </c>
      <c r="BK80" s="5">
        <v>1.0</v>
      </c>
      <c r="BL80" s="3" t="s">
        <v>115</v>
      </c>
      <c r="BM80" s="5" t="s">
        <v>116</v>
      </c>
      <c r="BN80" s="5">
        <v>1.0</v>
      </c>
      <c r="BO80" s="3" t="s">
        <v>160</v>
      </c>
      <c r="BP80" s="3"/>
      <c r="BQ80" s="3">
        <v>0.0</v>
      </c>
      <c r="BR80" s="3" t="s">
        <v>161</v>
      </c>
      <c r="BS80" s="5" t="s">
        <v>119</v>
      </c>
      <c r="BT80" s="5">
        <v>1.0</v>
      </c>
      <c r="BU80" s="3" t="s">
        <v>1173</v>
      </c>
      <c r="BV80" s="5" t="s">
        <v>121</v>
      </c>
      <c r="BW80" s="5">
        <v>0.5</v>
      </c>
      <c r="BX80" s="3" t="s">
        <v>1174</v>
      </c>
      <c r="BY80" s="5" t="s">
        <v>123</v>
      </c>
      <c r="BZ80" s="5">
        <v>0.5</v>
      </c>
      <c r="CA80" s="3" t="s">
        <v>97</v>
      </c>
      <c r="CB80" s="3" t="s">
        <v>1175</v>
      </c>
      <c r="CC80" s="3" t="s">
        <v>97</v>
      </c>
      <c r="CD80" s="3" t="s">
        <v>199</v>
      </c>
      <c r="CE80" s="3" t="s">
        <v>823</v>
      </c>
      <c r="CF80" s="3" t="s">
        <v>97</v>
      </c>
      <c r="CG80" s="3" t="s">
        <v>1176</v>
      </c>
      <c r="CH80" s="3">
        <v>5.0</v>
      </c>
    </row>
    <row r="81" ht="14.25" customHeight="1">
      <c r="A81" s="3">
        <v>44732.1287142245</v>
      </c>
      <c r="B81" s="3" t="s">
        <v>149</v>
      </c>
      <c r="C81" s="3">
        <f t="shared" si="1"/>
        <v>0</v>
      </c>
      <c r="D81" s="3" t="s">
        <v>87</v>
      </c>
      <c r="E81" s="3" t="s">
        <v>88</v>
      </c>
      <c r="F81" s="3">
        <f t="shared" si="2"/>
        <v>1</v>
      </c>
      <c r="G81" s="3" t="s">
        <v>287</v>
      </c>
      <c r="H81" s="3" t="s">
        <v>151</v>
      </c>
      <c r="I81" s="3">
        <v>2.0</v>
      </c>
      <c r="J81" s="3" t="s">
        <v>91</v>
      </c>
      <c r="K81" s="3">
        <f t="shared" si="3"/>
        <v>1</v>
      </c>
      <c r="L81" s="3" t="s">
        <v>133</v>
      </c>
      <c r="M81" s="3">
        <f t="shared" si="4"/>
        <v>0</v>
      </c>
      <c r="N81" s="4"/>
      <c r="O81" s="3" t="s">
        <v>93</v>
      </c>
      <c r="P81" s="3" t="s">
        <v>753</v>
      </c>
      <c r="Q81" s="3">
        <v>0.0</v>
      </c>
      <c r="R81" s="3">
        <v>0.0</v>
      </c>
      <c r="S81" s="3">
        <v>0.0</v>
      </c>
      <c r="T81" s="3">
        <v>0.0</v>
      </c>
      <c r="U81" s="3">
        <v>0.0</v>
      </c>
      <c r="V81" s="3">
        <v>1.0</v>
      </c>
      <c r="W81" s="3">
        <v>0.0</v>
      </c>
      <c r="X81" s="3">
        <v>0.0</v>
      </c>
      <c r="Y81" s="3">
        <v>0.0</v>
      </c>
      <c r="Z81" s="3">
        <v>0.0</v>
      </c>
      <c r="AA81" s="3">
        <v>0.0</v>
      </c>
      <c r="AB81" s="3">
        <v>0.0</v>
      </c>
      <c r="AC81" s="3">
        <v>0.0</v>
      </c>
      <c r="AD81" s="3" t="s">
        <v>1177</v>
      </c>
      <c r="AE81" s="5" t="s">
        <v>96</v>
      </c>
      <c r="AF81" s="5">
        <v>0.25</v>
      </c>
      <c r="AG81" s="3" t="s">
        <v>97</v>
      </c>
      <c r="AH81" s="3">
        <v>1.0</v>
      </c>
      <c r="AI81" s="3" t="s">
        <v>1178</v>
      </c>
      <c r="AJ81" s="5" t="s">
        <v>99</v>
      </c>
      <c r="AK81" s="5">
        <v>1.0</v>
      </c>
      <c r="AL81" s="3" t="s">
        <v>1179</v>
      </c>
      <c r="AM81" s="5" t="s">
        <v>101</v>
      </c>
      <c r="AN81" s="5">
        <v>0.75</v>
      </c>
      <c r="AO81" s="3" t="s">
        <v>97</v>
      </c>
      <c r="AP81" s="3">
        <v>1.0</v>
      </c>
      <c r="AQ81" s="3" t="s">
        <v>1180</v>
      </c>
      <c r="AR81" s="5" t="s">
        <v>103</v>
      </c>
      <c r="AS81" s="3">
        <v>1.0</v>
      </c>
      <c r="AT81" s="3" t="s">
        <v>94</v>
      </c>
      <c r="AU81" s="5" t="s">
        <v>104</v>
      </c>
      <c r="AV81" s="5">
        <v>1.0</v>
      </c>
      <c r="AW81" s="3" t="s">
        <v>1181</v>
      </c>
      <c r="AX81" s="5" t="s">
        <v>106</v>
      </c>
      <c r="AY81" s="5">
        <v>0.5</v>
      </c>
      <c r="AZ81" s="3" t="s">
        <v>1182</v>
      </c>
      <c r="BA81" s="5" t="s">
        <v>108</v>
      </c>
      <c r="BB81" s="5">
        <v>0.75</v>
      </c>
      <c r="BC81" s="3" t="s">
        <v>109</v>
      </c>
      <c r="BD81" s="5" t="s">
        <v>110</v>
      </c>
      <c r="BE81" s="3">
        <v>1.0</v>
      </c>
      <c r="BF81" s="3" t="s">
        <v>1183</v>
      </c>
      <c r="BG81" s="5" t="s">
        <v>112</v>
      </c>
      <c r="BH81" s="5">
        <v>0.25</v>
      </c>
      <c r="BI81" s="3" t="s">
        <v>1184</v>
      </c>
      <c r="BJ81" s="5" t="s">
        <v>114</v>
      </c>
      <c r="BK81" s="5">
        <v>1.0</v>
      </c>
      <c r="BL81" s="3" t="s">
        <v>115</v>
      </c>
      <c r="BM81" s="5" t="s">
        <v>116</v>
      </c>
      <c r="BN81" s="5">
        <v>1.0</v>
      </c>
      <c r="BO81" s="3" t="s">
        <v>117</v>
      </c>
      <c r="BP81" s="3"/>
      <c r="BQ81" s="3">
        <v>1.0</v>
      </c>
      <c r="BR81" s="3" t="s">
        <v>181</v>
      </c>
      <c r="BS81" s="5" t="s">
        <v>119</v>
      </c>
      <c r="BT81" s="5">
        <v>1.0</v>
      </c>
      <c r="BU81" s="3" t="s">
        <v>1185</v>
      </c>
      <c r="BV81" s="5" t="s">
        <v>121</v>
      </c>
      <c r="BW81" s="5">
        <v>0.25</v>
      </c>
      <c r="BX81" s="3" t="s">
        <v>1186</v>
      </c>
      <c r="BY81" s="5" t="s">
        <v>123</v>
      </c>
      <c r="BZ81" s="5">
        <v>0.5</v>
      </c>
      <c r="CA81" s="3" t="s">
        <v>97</v>
      </c>
      <c r="CB81" s="3" t="s">
        <v>1187</v>
      </c>
      <c r="CC81" s="3" t="s">
        <v>97</v>
      </c>
      <c r="CD81" s="3" t="s">
        <v>199</v>
      </c>
      <c r="CE81" s="3" t="s">
        <v>823</v>
      </c>
      <c r="CF81" s="3" t="s">
        <v>97</v>
      </c>
      <c r="CG81" s="3" t="s">
        <v>1188</v>
      </c>
      <c r="CH81" s="3">
        <v>6.0</v>
      </c>
    </row>
    <row r="82" ht="14.25" customHeight="1">
      <c r="A82" s="3">
        <v>44732.1403332407</v>
      </c>
      <c r="B82" s="3" t="s">
        <v>86</v>
      </c>
      <c r="C82" s="3">
        <f t="shared" si="1"/>
        <v>1</v>
      </c>
      <c r="D82" s="3" t="s">
        <v>128</v>
      </c>
      <c r="E82" s="3" t="s">
        <v>129</v>
      </c>
      <c r="F82" s="3">
        <f t="shared" si="2"/>
        <v>3</v>
      </c>
      <c r="G82" s="3" t="s">
        <v>724</v>
      </c>
      <c r="H82" s="3" t="s">
        <v>594</v>
      </c>
      <c r="I82" s="3">
        <v>2.0</v>
      </c>
      <c r="J82" s="3" t="s">
        <v>132</v>
      </c>
      <c r="K82" s="3">
        <f t="shared" si="3"/>
        <v>0</v>
      </c>
      <c r="L82" s="3" t="s">
        <v>133</v>
      </c>
      <c r="M82" s="3">
        <f t="shared" si="4"/>
        <v>0</v>
      </c>
      <c r="N82" s="4"/>
      <c r="O82" s="3" t="s">
        <v>93</v>
      </c>
      <c r="P82" s="3" t="s">
        <v>25</v>
      </c>
      <c r="Q82" s="3">
        <v>0.0</v>
      </c>
      <c r="R82" s="3">
        <v>0.0</v>
      </c>
      <c r="S82" s="3">
        <v>0.0</v>
      </c>
      <c r="T82" s="3">
        <v>0.0</v>
      </c>
      <c r="U82" s="3">
        <v>0.0</v>
      </c>
      <c r="V82" s="3">
        <v>0.0</v>
      </c>
      <c r="W82" s="3">
        <v>0.0</v>
      </c>
      <c r="X82" s="3">
        <v>0.0</v>
      </c>
      <c r="Y82" s="3">
        <v>0.0</v>
      </c>
      <c r="Z82" s="3">
        <v>1.0</v>
      </c>
      <c r="AA82" s="3">
        <v>0.0</v>
      </c>
      <c r="AB82" s="3">
        <v>0.0</v>
      </c>
      <c r="AC82" s="3">
        <v>0.0</v>
      </c>
      <c r="AD82" s="3" t="s">
        <v>1189</v>
      </c>
      <c r="AE82" s="5" t="s">
        <v>96</v>
      </c>
      <c r="AF82" s="5">
        <v>0.5</v>
      </c>
      <c r="AG82" s="3" t="s">
        <v>97</v>
      </c>
      <c r="AH82" s="3">
        <v>1.0</v>
      </c>
      <c r="AI82" s="3" t="s">
        <v>1190</v>
      </c>
      <c r="AJ82" s="5" t="s">
        <v>99</v>
      </c>
      <c r="AK82" s="5">
        <v>1.0</v>
      </c>
      <c r="AL82" s="3" t="s">
        <v>1191</v>
      </c>
      <c r="AM82" s="5" t="s">
        <v>101</v>
      </c>
      <c r="AN82" s="5">
        <v>0.75</v>
      </c>
      <c r="AO82" s="3" t="s">
        <v>97</v>
      </c>
      <c r="AP82" s="3">
        <v>1.0</v>
      </c>
      <c r="AQ82" s="3" t="s">
        <v>1192</v>
      </c>
      <c r="AR82" s="5" t="s">
        <v>103</v>
      </c>
      <c r="AS82" s="3">
        <v>0.0</v>
      </c>
      <c r="AT82" s="3" t="s">
        <v>94</v>
      </c>
      <c r="AU82" s="5" t="s">
        <v>104</v>
      </c>
      <c r="AV82" s="5">
        <v>1.0</v>
      </c>
      <c r="AW82" s="3" t="s">
        <v>1193</v>
      </c>
      <c r="AX82" s="5" t="s">
        <v>106</v>
      </c>
      <c r="AY82" s="5">
        <v>0.25</v>
      </c>
      <c r="AZ82" s="3" t="s">
        <v>1194</v>
      </c>
      <c r="BA82" s="5" t="s">
        <v>108</v>
      </c>
      <c r="BB82" s="5">
        <v>0.5</v>
      </c>
      <c r="BC82" s="3" t="s">
        <v>109</v>
      </c>
      <c r="BD82" s="5" t="s">
        <v>110</v>
      </c>
      <c r="BE82" s="3">
        <v>1.0</v>
      </c>
      <c r="BF82" s="3" t="s">
        <v>1195</v>
      </c>
      <c r="BG82" s="5" t="s">
        <v>112</v>
      </c>
      <c r="BH82" s="5">
        <v>0.5</v>
      </c>
      <c r="BI82" s="3" t="s">
        <v>1196</v>
      </c>
      <c r="BJ82" s="5" t="s">
        <v>114</v>
      </c>
      <c r="BK82" s="5">
        <v>1.0</v>
      </c>
      <c r="BL82" s="3" t="s">
        <v>115</v>
      </c>
      <c r="BM82" s="5" t="s">
        <v>116</v>
      </c>
      <c r="BN82" s="5">
        <v>1.0</v>
      </c>
      <c r="BO82" s="3" t="s">
        <v>211</v>
      </c>
      <c r="BP82" s="3"/>
      <c r="BQ82" s="3">
        <v>1.0</v>
      </c>
      <c r="BR82" s="3" t="s">
        <v>161</v>
      </c>
      <c r="BS82" s="5" t="s">
        <v>119</v>
      </c>
      <c r="BT82" s="5">
        <v>1.0</v>
      </c>
      <c r="BU82" s="3" t="s">
        <v>1197</v>
      </c>
      <c r="BV82" s="5" t="s">
        <v>121</v>
      </c>
      <c r="BW82" s="5">
        <v>0.5</v>
      </c>
      <c r="BX82" s="3" t="s">
        <v>1198</v>
      </c>
      <c r="BY82" s="5" t="s">
        <v>123</v>
      </c>
      <c r="BZ82" s="5">
        <v>0.75</v>
      </c>
      <c r="CA82" s="3" t="s">
        <v>97</v>
      </c>
      <c r="CB82" s="3" t="s">
        <v>1199</v>
      </c>
      <c r="CC82" s="3" t="s">
        <v>97</v>
      </c>
      <c r="CD82" s="3" t="s">
        <v>199</v>
      </c>
      <c r="CE82" s="3" t="s">
        <v>1200</v>
      </c>
      <c r="CF82" s="3" t="s">
        <v>167</v>
      </c>
      <c r="CG82" s="3" t="s">
        <v>1201</v>
      </c>
      <c r="CH82" s="3">
        <v>5.0</v>
      </c>
    </row>
    <row r="83" ht="14.25" customHeight="1">
      <c r="A83" s="3">
        <v>44732.1450748958</v>
      </c>
      <c r="B83" s="3" t="s">
        <v>149</v>
      </c>
      <c r="C83" s="3">
        <f t="shared" si="1"/>
        <v>0</v>
      </c>
      <c r="D83" s="3" t="s">
        <v>169</v>
      </c>
      <c r="E83" s="3" t="s">
        <v>170</v>
      </c>
      <c r="F83" s="3">
        <f t="shared" si="2"/>
        <v>2</v>
      </c>
      <c r="G83" s="3" t="s">
        <v>1113</v>
      </c>
      <c r="H83" s="3" t="s">
        <v>564</v>
      </c>
      <c r="I83" s="3">
        <v>2.0</v>
      </c>
      <c r="J83" s="3" t="s">
        <v>91</v>
      </c>
      <c r="K83" s="3">
        <f t="shared" si="3"/>
        <v>1</v>
      </c>
      <c r="L83" s="3" t="s">
        <v>133</v>
      </c>
      <c r="M83" s="3">
        <f t="shared" si="4"/>
        <v>0</v>
      </c>
      <c r="N83" s="4"/>
      <c r="O83" s="3" t="s">
        <v>93</v>
      </c>
      <c r="P83" s="3" t="s">
        <v>16</v>
      </c>
      <c r="Q83" s="3">
        <v>1.0</v>
      </c>
      <c r="R83" s="3">
        <v>0.0</v>
      </c>
      <c r="S83" s="3">
        <v>0.0</v>
      </c>
      <c r="T83" s="3">
        <v>0.0</v>
      </c>
      <c r="U83" s="3">
        <v>0.0</v>
      </c>
      <c r="V83" s="3">
        <v>0.0</v>
      </c>
      <c r="W83" s="3">
        <v>0.0</v>
      </c>
      <c r="X83" s="3">
        <v>0.0</v>
      </c>
      <c r="Y83" s="3">
        <v>0.0</v>
      </c>
      <c r="Z83" s="3">
        <v>0.0</v>
      </c>
      <c r="AA83" s="3">
        <v>0.0</v>
      </c>
      <c r="AB83" s="3">
        <v>0.0</v>
      </c>
      <c r="AC83" s="3">
        <v>0.0</v>
      </c>
      <c r="AD83" s="3" t="s">
        <v>1202</v>
      </c>
      <c r="AE83" s="5" t="s">
        <v>96</v>
      </c>
      <c r="AF83" s="5">
        <v>0.25</v>
      </c>
      <c r="AG83" s="3" t="s">
        <v>97</v>
      </c>
      <c r="AH83" s="3">
        <v>1.0</v>
      </c>
      <c r="AI83" s="3" t="s">
        <v>761</v>
      </c>
      <c r="AJ83" s="5" t="s">
        <v>99</v>
      </c>
      <c r="AK83" s="5">
        <v>0.0</v>
      </c>
      <c r="AL83" s="3" t="s">
        <v>1203</v>
      </c>
      <c r="AM83" s="5" t="s">
        <v>101</v>
      </c>
      <c r="AN83" s="5">
        <v>0.0</v>
      </c>
      <c r="AO83" s="3" t="s">
        <v>97</v>
      </c>
      <c r="AP83" s="3">
        <v>1.0</v>
      </c>
      <c r="AQ83" s="3" t="s">
        <v>1204</v>
      </c>
      <c r="AR83" s="5" t="s">
        <v>103</v>
      </c>
      <c r="AS83" s="3">
        <v>1.0</v>
      </c>
      <c r="AT83" s="3" t="s">
        <v>94</v>
      </c>
      <c r="AU83" s="5" t="s">
        <v>104</v>
      </c>
      <c r="AV83" s="5">
        <v>1.0</v>
      </c>
      <c r="AW83" s="3" t="s">
        <v>1205</v>
      </c>
      <c r="AX83" s="5" t="s">
        <v>106</v>
      </c>
      <c r="AY83" s="5">
        <v>0.5</v>
      </c>
      <c r="AZ83" s="3" t="s">
        <v>1080</v>
      </c>
      <c r="BA83" s="5" t="s">
        <v>108</v>
      </c>
      <c r="BB83" s="5">
        <v>0.5</v>
      </c>
      <c r="BC83" s="3" t="s">
        <v>109</v>
      </c>
      <c r="BD83" s="5" t="s">
        <v>110</v>
      </c>
      <c r="BE83" s="3">
        <v>1.0</v>
      </c>
      <c r="BF83" s="3" t="s">
        <v>1206</v>
      </c>
      <c r="BG83" s="5" t="s">
        <v>112</v>
      </c>
      <c r="BH83" s="5">
        <v>0.5</v>
      </c>
      <c r="BI83" s="3" t="s">
        <v>1207</v>
      </c>
      <c r="BJ83" s="5" t="s">
        <v>114</v>
      </c>
      <c r="BK83" s="5">
        <v>1.0</v>
      </c>
      <c r="BL83" s="3" t="s">
        <v>115</v>
      </c>
      <c r="BM83" s="5" t="s">
        <v>116</v>
      </c>
      <c r="BN83" s="5">
        <v>1.0</v>
      </c>
      <c r="BO83" s="3" t="s">
        <v>117</v>
      </c>
      <c r="BP83" s="3"/>
      <c r="BQ83" s="3">
        <v>1.0</v>
      </c>
      <c r="BR83" s="3" t="s">
        <v>181</v>
      </c>
      <c r="BS83" s="5" t="s">
        <v>119</v>
      </c>
      <c r="BT83" s="5">
        <v>1.0</v>
      </c>
      <c r="BU83" s="3" t="s">
        <v>1208</v>
      </c>
      <c r="BV83" s="5" t="s">
        <v>121</v>
      </c>
      <c r="BW83" s="5">
        <v>0.5</v>
      </c>
      <c r="BX83" s="3" t="s">
        <v>1209</v>
      </c>
      <c r="BY83" s="5" t="s">
        <v>123</v>
      </c>
      <c r="BZ83" s="5">
        <v>0.5</v>
      </c>
      <c r="CA83" s="3" t="s">
        <v>97</v>
      </c>
      <c r="CB83" s="3" t="s">
        <v>761</v>
      </c>
      <c r="CC83" s="3" t="s">
        <v>97</v>
      </c>
      <c r="CD83" s="3" t="s">
        <v>165</v>
      </c>
      <c r="CE83" s="3" t="s">
        <v>823</v>
      </c>
      <c r="CF83" s="3" t="s">
        <v>97</v>
      </c>
      <c r="CG83" s="3" t="s">
        <v>1210</v>
      </c>
      <c r="CH83" s="3">
        <v>6.0</v>
      </c>
    </row>
    <row r="84" ht="14.25" customHeight="1">
      <c r="A84" s="3">
        <v>44732.1509118403</v>
      </c>
      <c r="B84" s="3" t="s">
        <v>86</v>
      </c>
      <c r="C84" s="3">
        <f t="shared" si="1"/>
        <v>1</v>
      </c>
      <c r="D84" s="3" t="s">
        <v>128</v>
      </c>
      <c r="E84" s="3" t="s">
        <v>129</v>
      </c>
      <c r="F84" s="3">
        <f t="shared" si="2"/>
        <v>3</v>
      </c>
      <c r="G84" s="3" t="s">
        <v>130</v>
      </c>
      <c r="H84" s="3" t="s">
        <v>1211</v>
      </c>
      <c r="I84" s="3">
        <v>0.0</v>
      </c>
      <c r="J84" s="3" t="s">
        <v>132</v>
      </c>
      <c r="K84" s="3">
        <f t="shared" si="3"/>
        <v>0</v>
      </c>
      <c r="L84" s="3" t="s">
        <v>133</v>
      </c>
      <c r="M84" s="3">
        <f t="shared" si="4"/>
        <v>0</v>
      </c>
      <c r="N84" s="4"/>
      <c r="O84" s="3" t="s">
        <v>93</v>
      </c>
      <c r="P84" s="3" t="s">
        <v>343</v>
      </c>
      <c r="Q84" s="3">
        <v>0.0</v>
      </c>
      <c r="R84" s="3">
        <v>1.0</v>
      </c>
      <c r="S84" s="3">
        <v>0.0</v>
      </c>
      <c r="T84" s="3">
        <v>0.0</v>
      </c>
      <c r="U84" s="3">
        <v>0.0</v>
      </c>
      <c r="V84" s="3">
        <v>0.0</v>
      </c>
      <c r="W84" s="3">
        <v>0.0</v>
      </c>
      <c r="X84" s="3">
        <v>0.0</v>
      </c>
      <c r="Y84" s="3">
        <v>0.0</v>
      </c>
      <c r="Z84" s="3">
        <v>0.0</v>
      </c>
      <c r="AA84" s="3">
        <v>0.0</v>
      </c>
      <c r="AB84" s="3">
        <v>0.0</v>
      </c>
      <c r="AC84" s="3">
        <v>0.0</v>
      </c>
      <c r="AD84" s="3" t="s">
        <v>1212</v>
      </c>
      <c r="AE84" s="5" t="s">
        <v>96</v>
      </c>
      <c r="AF84" s="5">
        <v>0.25</v>
      </c>
      <c r="AG84" s="3" t="s">
        <v>97</v>
      </c>
      <c r="AH84" s="3">
        <v>1.0</v>
      </c>
      <c r="AI84" s="3" t="s">
        <v>1213</v>
      </c>
      <c r="AJ84" s="5" t="s">
        <v>99</v>
      </c>
      <c r="AK84" s="5">
        <v>1.0</v>
      </c>
      <c r="AL84" s="3" t="s">
        <v>1214</v>
      </c>
      <c r="AM84" s="5" t="s">
        <v>101</v>
      </c>
      <c r="AN84" s="5">
        <v>0.5</v>
      </c>
      <c r="AO84" s="3" t="s">
        <v>97</v>
      </c>
      <c r="AP84" s="3">
        <v>1.0</v>
      </c>
      <c r="AQ84" s="3" t="s">
        <v>1215</v>
      </c>
      <c r="AR84" s="5" t="s">
        <v>103</v>
      </c>
      <c r="AS84" s="3">
        <v>1.0</v>
      </c>
      <c r="AT84" s="3" t="s">
        <v>94</v>
      </c>
      <c r="AU84" s="5" t="s">
        <v>104</v>
      </c>
      <c r="AV84" s="5">
        <v>1.0</v>
      </c>
      <c r="AW84" s="3" t="s">
        <v>1216</v>
      </c>
      <c r="AX84" s="5" t="s">
        <v>106</v>
      </c>
      <c r="AY84" s="5">
        <v>0.5</v>
      </c>
      <c r="AZ84" s="3" t="s">
        <v>1217</v>
      </c>
      <c r="BA84" s="5" t="s">
        <v>108</v>
      </c>
      <c r="BB84" s="5">
        <v>0.25</v>
      </c>
      <c r="BC84" s="3" t="s">
        <v>109</v>
      </c>
      <c r="BD84" s="5" t="s">
        <v>110</v>
      </c>
      <c r="BE84" s="3">
        <v>1.0</v>
      </c>
      <c r="BF84" s="3" t="s">
        <v>1218</v>
      </c>
      <c r="BG84" s="5" t="s">
        <v>112</v>
      </c>
      <c r="BH84" s="5">
        <v>0.5</v>
      </c>
      <c r="BI84" s="3" t="s">
        <v>1219</v>
      </c>
      <c r="BJ84" s="5" t="s">
        <v>114</v>
      </c>
      <c r="BK84" s="5">
        <v>1.0</v>
      </c>
      <c r="BL84" s="3" t="s">
        <v>115</v>
      </c>
      <c r="BM84" s="5" t="s">
        <v>116</v>
      </c>
      <c r="BN84" s="5">
        <v>1.0</v>
      </c>
      <c r="BO84" s="3" t="s">
        <v>117</v>
      </c>
      <c r="BP84" s="3"/>
      <c r="BQ84" s="3">
        <v>1.0</v>
      </c>
      <c r="BR84" s="3" t="s">
        <v>492</v>
      </c>
      <c r="BS84" s="5" t="s">
        <v>119</v>
      </c>
      <c r="BT84" s="5">
        <v>0.5</v>
      </c>
      <c r="BU84" s="3" t="s">
        <v>1220</v>
      </c>
      <c r="BV84" s="5" t="s">
        <v>121</v>
      </c>
      <c r="BW84" s="5">
        <v>0.25</v>
      </c>
      <c r="BX84" s="3" t="s">
        <v>1047</v>
      </c>
      <c r="BY84" s="5" t="s">
        <v>123</v>
      </c>
      <c r="BZ84" s="5">
        <v>0.5</v>
      </c>
      <c r="CA84" s="3" t="s">
        <v>167</v>
      </c>
      <c r="CB84" s="3" t="s">
        <v>1221</v>
      </c>
      <c r="CC84" s="3" t="s">
        <v>97</v>
      </c>
      <c r="CD84" s="3" t="s">
        <v>125</v>
      </c>
      <c r="CE84" s="3" t="s">
        <v>1222</v>
      </c>
      <c r="CF84" s="3" t="s">
        <v>97</v>
      </c>
      <c r="CG84" s="3" t="s">
        <v>1150</v>
      </c>
      <c r="CH84" s="3">
        <v>7.0</v>
      </c>
    </row>
    <row r="85" ht="14.25" customHeight="1">
      <c r="A85" s="3">
        <v>44732.1559676852</v>
      </c>
      <c r="B85" s="3" t="s">
        <v>86</v>
      </c>
      <c r="C85" s="3">
        <f t="shared" si="1"/>
        <v>1</v>
      </c>
      <c r="D85" s="3" t="s">
        <v>169</v>
      </c>
      <c r="E85" s="3" t="s">
        <v>170</v>
      </c>
      <c r="F85" s="3">
        <f t="shared" si="2"/>
        <v>2</v>
      </c>
      <c r="G85" s="3" t="s">
        <v>130</v>
      </c>
      <c r="H85" s="3" t="s">
        <v>1223</v>
      </c>
      <c r="I85" s="3">
        <v>0.0</v>
      </c>
      <c r="J85" s="3" t="s">
        <v>132</v>
      </c>
      <c r="K85" s="3">
        <f t="shared" si="3"/>
        <v>0</v>
      </c>
      <c r="L85" s="3" t="s">
        <v>133</v>
      </c>
      <c r="M85" s="3">
        <f t="shared" si="4"/>
        <v>0</v>
      </c>
      <c r="N85" s="4"/>
      <c r="O85" s="3" t="s">
        <v>93</v>
      </c>
      <c r="P85" s="3" t="s">
        <v>380</v>
      </c>
      <c r="Q85" s="3">
        <v>1.0</v>
      </c>
      <c r="R85" s="3">
        <v>0.0</v>
      </c>
      <c r="S85" s="3">
        <v>0.0</v>
      </c>
      <c r="T85" s="3">
        <v>0.0</v>
      </c>
      <c r="U85" s="3">
        <v>0.0</v>
      </c>
      <c r="V85" s="3">
        <v>0.0</v>
      </c>
      <c r="W85" s="3">
        <v>0.0</v>
      </c>
      <c r="X85" s="3">
        <v>0.0</v>
      </c>
      <c r="Y85" s="3">
        <v>0.0</v>
      </c>
      <c r="Z85" s="3">
        <v>1.0</v>
      </c>
      <c r="AA85" s="3">
        <v>0.0</v>
      </c>
      <c r="AB85" s="3">
        <v>0.0</v>
      </c>
      <c r="AC85" s="3">
        <v>0.0</v>
      </c>
      <c r="AD85" s="3" t="s">
        <v>1224</v>
      </c>
      <c r="AE85" s="5" t="s">
        <v>96</v>
      </c>
      <c r="AF85" s="5">
        <v>0.25</v>
      </c>
      <c r="AG85" s="3" t="s">
        <v>97</v>
      </c>
      <c r="AH85" s="3">
        <v>1.0</v>
      </c>
      <c r="AI85" s="3" t="s">
        <v>1225</v>
      </c>
      <c r="AJ85" s="5" t="s">
        <v>99</v>
      </c>
      <c r="AK85" s="5">
        <v>1.0</v>
      </c>
      <c r="AL85" s="3" t="s">
        <v>553</v>
      </c>
      <c r="AM85" s="5" t="s">
        <v>101</v>
      </c>
      <c r="AN85" s="5">
        <v>0.5</v>
      </c>
      <c r="AO85" s="3" t="s">
        <v>97</v>
      </c>
      <c r="AP85" s="3">
        <v>1.0</v>
      </c>
      <c r="AQ85" s="3" t="s">
        <v>1226</v>
      </c>
      <c r="AR85" s="5" t="s">
        <v>103</v>
      </c>
      <c r="AS85" s="3">
        <v>1.0</v>
      </c>
      <c r="AT85" s="3" t="s">
        <v>94</v>
      </c>
      <c r="AU85" s="5" t="s">
        <v>104</v>
      </c>
      <c r="AV85" s="5">
        <v>1.0</v>
      </c>
      <c r="AW85" s="3" t="s">
        <v>1227</v>
      </c>
      <c r="AX85" s="5" t="s">
        <v>106</v>
      </c>
      <c r="AY85" s="5">
        <v>0.25</v>
      </c>
      <c r="AZ85" s="3" t="s">
        <v>1080</v>
      </c>
      <c r="BA85" s="5" t="s">
        <v>108</v>
      </c>
      <c r="BB85" s="5">
        <v>0.5</v>
      </c>
      <c r="BC85" s="3" t="s">
        <v>109</v>
      </c>
      <c r="BD85" s="5" t="s">
        <v>110</v>
      </c>
      <c r="BE85" s="3">
        <v>1.0</v>
      </c>
      <c r="BF85" s="3" t="s">
        <v>1228</v>
      </c>
      <c r="BG85" s="5" t="s">
        <v>112</v>
      </c>
      <c r="BH85" s="5">
        <v>0.0</v>
      </c>
      <c r="BI85" s="3" t="s">
        <v>105</v>
      </c>
      <c r="BJ85" s="5" t="s">
        <v>114</v>
      </c>
      <c r="BK85" s="5">
        <v>1.0</v>
      </c>
      <c r="BL85" s="3" t="s">
        <v>115</v>
      </c>
      <c r="BM85" s="5" t="s">
        <v>116</v>
      </c>
      <c r="BN85" s="5">
        <v>1.0</v>
      </c>
      <c r="BO85" s="3" t="s">
        <v>117</v>
      </c>
      <c r="BP85" s="3"/>
      <c r="BQ85" s="3">
        <v>1.0</v>
      </c>
      <c r="BR85" s="3" t="s">
        <v>161</v>
      </c>
      <c r="BS85" s="5" t="s">
        <v>119</v>
      </c>
      <c r="BT85" s="5">
        <v>1.0</v>
      </c>
      <c r="BU85" s="3" t="s">
        <v>1229</v>
      </c>
      <c r="BV85" s="5" t="s">
        <v>121</v>
      </c>
      <c r="BW85" s="5">
        <v>0.75</v>
      </c>
      <c r="BX85" s="3" t="s">
        <v>1230</v>
      </c>
      <c r="BY85" s="5" t="s">
        <v>123</v>
      </c>
      <c r="BZ85" s="5">
        <v>0.0</v>
      </c>
      <c r="CA85" s="3" t="s">
        <v>97</v>
      </c>
      <c r="CB85" s="3" t="s">
        <v>1231</v>
      </c>
      <c r="CC85" s="3" t="s">
        <v>97</v>
      </c>
      <c r="CD85" s="3" t="s">
        <v>125</v>
      </c>
      <c r="CE85" s="3" t="s">
        <v>1232</v>
      </c>
      <c r="CF85" s="3" t="s">
        <v>97</v>
      </c>
      <c r="CG85" s="3" t="s">
        <v>1233</v>
      </c>
      <c r="CH85" s="3">
        <v>7.0</v>
      </c>
    </row>
    <row r="86" ht="14.25" customHeight="1">
      <c r="A86" s="3">
        <v>44732.3116637269</v>
      </c>
      <c r="B86" s="3" t="s">
        <v>86</v>
      </c>
      <c r="C86" s="3">
        <f t="shared" si="1"/>
        <v>1</v>
      </c>
      <c r="D86" s="3" t="s">
        <v>128</v>
      </c>
      <c r="E86" s="3" t="s">
        <v>129</v>
      </c>
      <c r="F86" s="3">
        <f t="shared" si="2"/>
        <v>3</v>
      </c>
      <c r="G86" s="3" t="s">
        <v>130</v>
      </c>
      <c r="H86" s="3" t="s">
        <v>448</v>
      </c>
      <c r="I86" s="3">
        <v>1.0</v>
      </c>
      <c r="J86" s="3" t="s">
        <v>132</v>
      </c>
      <c r="K86" s="3">
        <f t="shared" si="3"/>
        <v>0</v>
      </c>
      <c r="L86" s="3" t="s">
        <v>133</v>
      </c>
      <c r="M86" s="3">
        <f t="shared" si="4"/>
        <v>0</v>
      </c>
      <c r="N86" s="4"/>
      <c r="O86" s="3" t="s">
        <v>93</v>
      </c>
      <c r="P86" s="3" t="s">
        <v>1234</v>
      </c>
      <c r="Q86" s="3">
        <v>1.0</v>
      </c>
      <c r="R86" s="3">
        <v>1.0</v>
      </c>
      <c r="S86" s="3">
        <v>0.0</v>
      </c>
      <c r="T86" s="3">
        <v>0.0</v>
      </c>
      <c r="U86" s="3">
        <v>0.0</v>
      </c>
      <c r="V86" s="3">
        <v>0.0</v>
      </c>
      <c r="W86" s="3">
        <v>0.0</v>
      </c>
      <c r="X86" s="3">
        <v>1.0</v>
      </c>
      <c r="Y86" s="3">
        <v>0.0</v>
      </c>
      <c r="Z86" s="3">
        <v>0.0</v>
      </c>
      <c r="AA86" s="3">
        <v>0.0</v>
      </c>
      <c r="AB86" s="3">
        <v>0.0</v>
      </c>
      <c r="AC86" s="3">
        <v>0.0</v>
      </c>
      <c r="AD86" s="3" t="s">
        <v>1235</v>
      </c>
      <c r="AE86" s="5" t="s">
        <v>96</v>
      </c>
      <c r="AF86" s="5">
        <v>0.5</v>
      </c>
      <c r="AG86" s="3" t="s">
        <v>1236</v>
      </c>
      <c r="AH86" s="4"/>
      <c r="AI86" s="3" t="s">
        <v>1237</v>
      </c>
      <c r="AJ86" s="5" t="s">
        <v>99</v>
      </c>
      <c r="AK86" s="5">
        <v>0.0</v>
      </c>
      <c r="AL86" s="3" t="s">
        <v>1238</v>
      </c>
      <c r="AM86" s="5" t="s">
        <v>101</v>
      </c>
      <c r="AN86" s="5">
        <v>0.25</v>
      </c>
      <c r="AO86" s="3" t="s">
        <v>97</v>
      </c>
      <c r="AP86" s="3">
        <v>1.0</v>
      </c>
      <c r="AQ86" s="3" t="s">
        <v>1239</v>
      </c>
      <c r="AR86" s="5" t="s">
        <v>103</v>
      </c>
      <c r="AS86" s="3">
        <v>1.0</v>
      </c>
      <c r="AT86" s="3" t="s">
        <v>94</v>
      </c>
      <c r="AU86" s="5" t="s">
        <v>104</v>
      </c>
      <c r="AV86" s="5">
        <v>1.0</v>
      </c>
      <c r="AW86" s="3" t="s">
        <v>105</v>
      </c>
      <c r="AX86" s="5" t="s">
        <v>106</v>
      </c>
      <c r="AY86" s="5">
        <v>0.0</v>
      </c>
      <c r="AZ86" s="3" t="s">
        <v>1240</v>
      </c>
      <c r="BA86" s="5" t="s">
        <v>108</v>
      </c>
      <c r="BB86" s="5">
        <v>0.75</v>
      </c>
      <c r="BC86" s="3" t="s">
        <v>109</v>
      </c>
      <c r="BD86" s="5" t="s">
        <v>110</v>
      </c>
      <c r="BE86" s="3">
        <v>1.0</v>
      </c>
      <c r="BF86" s="3" t="s">
        <v>1241</v>
      </c>
      <c r="BG86" s="5" t="s">
        <v>112</v>
      </c>
      <c r="BH86" s="5">
        <v>0.5</v>
      </c>
      <c r="BI86" s="3" t="s">
        <v>1242</v>
      </c>
      <c r="BJ86" s="5" t="s">
        <v>114</v>
      </c>
      <c r="BK86" s="5">
        <v>1.0</v>
      </c>
      <c r="BL86" s="3" t="s">
        <v>1243</v>
      </c>
      <c r="BM86" s="5" t="s">
        <v>116</v>
      </c>
      <c r="BN86" s="5">
        <v>1.0</v>
      </c>
      <c r="BO86" s="3" t="s">
        <v>211</v>
      </c>
      <c r="BP86" s="3"/>
      <c r="BQ86" s="3">
        <v>1.0</v>
      </c>
      <c r="BR86" s="3" t="s">
        <v>297</v>
      </c>
      <c r="BS86" s="5" t="s">
        <v>119</v>
      </c>
      <c r="BT86" s="5">
        <v>0.5</v>
      </c>
      <c r="BU86" s="3" t="s">
        <v>1244</v>
      </c>
      <c r="BV86" s="5" t="s">
        <v>121</v>
      </c>
      <c r="BW86" s="5">
        <v>0.5</v>
      </c>
      <c r="BX86" s="3" t="s">
        <v>1245</v>
      </c>
      <c r="BY86" s="5" t="s">
        <v>123</v>
      </c>
      <c r="BZ86" s="5">
        <v>0.0</v>
      </c>
      <c r="CA86" s="3" t="s">
        <v>97</v>
      </c>
      <c r="CB86" s="3" t="s">
        <v>1246</v>
      </c>
      <c r="CC86" s="3" t="s">
        <v>97</v>
      </c>
      <c r="CD86" s="3" t="s">
        <v>165</v>
      </c>
      <c r="CE86" s="3" t="s">
        <v>823</v>
      </c>
      <c r="CF86" s="3" t="s">
        <v>167</v>
      </c>
      <c r="CG86" s="3" t="s">
        <v>1247</v>
      </c>
      <c r="CH86" s="3">
        <v>5.0</v>
      </c>
    </row>
    <row r="87" ht="14.25" customHeight="1">
      <c r="A87" s="3">
        <v>44732.3185469329</v>
      </c>
      <c r="B87" s="3" t="s">
        <v>86</v>
      </c>
      <c r="C87" s="3">
        <f t="shared" si="1"/>
        <v>1</v>
      </c>
      <c r="D87" s="3" t="s">
        <v>87</v>
      </c>
      <c r="E87" s="3" t="s">
        <v>88</v>
      </c>
      <c r="F87" s="3">
        <f t="shared" si="2"/>
        <v>1</v>
      </c>
      <c r="G87" s="3" t="s">
        <v>130</v>
      </c>
      <c r="H87" s="3" t="s">
        <v>564</v>
      </c>
      <c r="I87" s="3">
        <v>2.0</v>
      </c>
      <c r="J87" s="3" t="s">
        <v>91</v>
      </c>
      <c r="K87" s="3">
        <f t="shared" si="3"/>
        <v>1</v>
      </c>
      <c r="L87" s="3" t="s">
        <v>133</v>
      </c>
      <c r="M87" s="3">
        <f t="shared" si="4"/>
        <v>0</v>
      </c>
      <c r="N87" s="4"/>
      <c r="O87" s="3" t="s">
        <v>93</v>
      </c>
      <c r="P87" s="3" t="s">
        <v>25</v>
      </c>
      <c r="Q87" s="3">
        <v>0.0</v>
      </c>
      <c r="R87" s="3">
        <v>0.0</v>
      </c>
      <c r="S87" s="3">
        <v>0.0</v>
      </c>
      <c r="T87" s="3">
        <v>0.0</v>
      </c>
      <c r="U87" s="3">
        <v>0.0</v>
      </c>
      <c r="V87" s="3">
        <v>0.0</v>
      </c>
      <c r="W87" s="3">
        <v>0.0</v>
      </c>
      <c r="X87" s="3">
        <v>0.0</v>
      </c>
      <c r="Y87" s="3">
        <v>0.0</v>
      </c>
      <c r="Z87" s="3">
        <v>1.0</v>
      </c>
      <c r="AA87" s="3">
        <v>0.0</v>
      </c>
      <c r="AB87" s="3">
        <v>0.0</v>
      </c>
      <c r="AC87" s="3">
        <v>0.0</v>
      </c>
      <c r="AD87" s="3" t="s">
        <v>1248</v>
      </c>
      <c r="AE87" s="5" t="s">
        <v>96</v>
      </c>
      <c r="AF87" s="5">
        <v>0.25</v>
      </c>
      <c r="AG87" s="3" t="s">
        <v>167</v>
      </c>
      <c r="AH87" s="3">
        <v>0.0</v>
      </c>
      <c r="AI87" s="3" t="s">
        <v>1249</v>
      </c>
      <c r="AJ87" s="5" t="s">
        <v>99</v>
      </c>
      <c r="AK87" s="5">
        <v>1.0</v>
      </c>
      <c r="AL87" s="3" t="s">
        <v>553</v>
      </c>
      <c r="AM87" s="5" t="s">
        <v>101</v>
      </c>
      <c r="AN87" s="5">
        <v>0.5</v>
      </c>
      <c r="AO87" s="3" t="s">
        <v>97</v>
      </c>
      <c r="AP87" s="3">
        <v>1.0</v>
      </c>
      <c r="AQ87" s="3" t="s">
        <v>1250</v>
      </c>
      <c r="AR87" s="5" t="s">
        <v>103</v>
      </c>
      <c r="AS87" s="3">
        <v>1.0</v>
      </c>
      <c r="AT87" s="3" t="s">
        <v>94</v>
      </c>
      <c r="AU87" s="5" t="s">
        <v>104</v>
      </c>
      <c r="AV87" s="5">
        <v>1.0</v>
      </c>
      <c r="AW87" s="3" t="s">
        <v>1251</v>
      </c>
      <c r="AX87" s="5" t="s">
        <v>106</v>
      </c>
      <c r="AY87" s="5">
        <v>1.0</v>
      </c>
      <c r="AZ87" s="3" t="s">
        <v>1146</v>
      </c>
      <c r="BA87" s="5" t="s">
        <v>108</v>
      </c>
      <c r="BB87" s="5">
        <v>0.5</v>
      </c>
      <c r="BC87" s="3" t="s">
        <v>109</v>
      </c>
      <c r="BD87" s="5" t="s">
        <v>110</v>
      </c>
      <c r="BE87" s="3">
        <v>1.0</v>
      </c>
      <c r="BF87" s="3" t="s">
        <v>761</v>
      </c>
      <c r="BG87" s="5" t="s">
        <v>112</v>
      </c>
      <c r="BH87" s="5">
        <v>0.0</v>
      </c>
      <c r="BI87" s="3" t="s">
        <v>105</v>
      </c>
      <c r="BJ87" s="5" t="s">
        <v>114</v>
      </c>
      <c r="BK87" s="5">
        <v>1.0</v>
      </c>
      <c r="BL87" s="3" t="s">
        <v>115</v>
      </c>
      <c r="BM87" s="5" t="s">
        <v>116</v>
      </c>
      <c r="BN87" s="5">
        <v>1.0</v>
      </c>
      <c r="BO87" s="3" t="s">
        <v>117</v>
      </c>
      <c r="BP87" s="3"/>
      <c r="BQ87" s="3">
        <v>1.0</v>
      </c>
      <c r="BR87" s="3" t="s">
        <v>118</v>
      </c>
      <c r="BS87" s="5" t="s">
        <v>119</v>
      </c>
      <c r="BT87" s="5">
        <v>0.5</v>
      </c>
      <c r="BU87" s="3" t="s">
        <v>1252</v>
      </c>
      <c r="BV87" s="5" t="s">
        <v>121</v>
      </c>
      <c r="BW87" s="5">
        <v>0.5</v>
      </c>
      <c r="BX87" s="3" t="s">
        <v>1253</v>
      </c>
      <c r="BY87" s="5" t="s">
        <v>123</v>
      </c>
      <c r="BZ87" s="5">
        <v>0.5</v>
      </c>
      <c r="CA87" s="3" t="s">
        <v>97</v>
      </c>
      <c r="CB87" s="3" t="s">
        <v>1254</v>
      </c>
      <c r="CC87" s="3" t="s">
        <v>97</v>
      </c>
      <c r="CD87" s="3" t="s">
        <v>165</v>
      </c>
      <c r="CE87" s="3" t="s">
        <v>823</v>
      </c>
      <c r="CF87" s="3" t="s">
        <v>167</v>
      </c>
      <c r="CG87" s="3" t="s">
        <v>1255</v>
      </c>
      <c r="CH87" s="3">
        <v>5.0</v>
      </c>
    </row>
    <row r="88" ht="14.25" customHeight="1">
      <c r="A88" s="3">
        <v>44732.3261253241</v>
      </c>
      <c r="B88" s="3" t="s">
        <v>86</v>
      </c>
      <c r="C88" s="3">
        <f t="shared" si="1"/>
        <v>1</v>
      </c>
      <c r="D88" s="3" t="s">
        <v>169</v>
      </c>
      <c r="E88" s="3" t="s">
        <v>170</v>
      </c>
      <c r="F88" s="3">
        <f t="shared" si="2"/>
        <v>2</v>
      </c>
      <c r="G88" s="3" t="s">
        <v>130</v>
      </c>
      <c r="H88" s="3" t="s">
        <v>1256</v>
      </c>
      <c r="I88" s="3">
        <v>2.0</v>
      </c>
      <c r="J88" s="3" t="s">
        <v>91</v>
      </c>
      <c r="K88" s="3">
        <f t="shared" si="3"/>
        <v>1</v>
      </c>
      <c r="L88" s="3" t="s">
        <v>133</v>
      </c>
      <c r="M88" s="3">
        <f t="shared" si="4"/>
        <v>0</v>
      </c>
      <c r="N88" s="4"/>
      <c r="O88" s="3" t="s">
        <v>93</v>
      </c>
      <c r="P88" s="3" t="s">
        <v>94</v>
      </c>
      <c r="Q88" s="3">
        <v>0.0</v>
      </c>
      <c r="R88" s="3">
        <v>0.0</v>
      </c>
      <c r="S88" s="3">
        <v>0.0</v>
      </c>
      <c r="T88" s="3">
        <v>0.0</v>
      </c>
      <c r="U88" s="3">
        <v>0.0</v>
      </c>
      <c r="V88" s="3">
        <v>0.0</v>
      </c>
      <c r="W88" s="3">
        <v>0.0</v>
      </c>
      <c r="X88" s="3">
        <v>0.0</v>
      </c>
      <c r="Y88" s="3">
        <v>0.0</v>
      </c>
      <c r="Z88" s="3">
        <v>0.0</v>
      </c>
      <c r="AA88" s="3">
        <v>1.0</v>
      </c>
      <c r="AB88" s="3">
        <v>0.0</v>
      </c>
      <c r="AC88" s="3">
        <v>0.0</v>
      </c>
      <c r="AD88" s="3" t="s">
        <v>1257</v>
      </c>
      <c r="AE88" s="5" t="s">
        <v>96</v>
      </c>
      <c r="AF88" s="5">
        <v>0.5</v>
      </c>
      <c r="AG88" s="3" t="s">
        <v>97</v>
      </c>
      <c r="AH88" s="3">
        <v>1.0</v>
      </c>
      <c r="AI88" s="3" t="s">
        <v>1258</v>
      </c>
      <c r="AJ88" s="5" t="s">
        <v>99</v>
      </c>
      <c r="AK88" s="5">
        <v>1.0</v>
      </c>
      <c r="AL88" s="3" t="s">
        <v>1259</v>
      </c>
      <c r="AM88" s="5" t="s">
        <v>101</v>
      </c>
      <c r="AN88" s="5">
        <v>0.75</v>
      </c>
      <c r="AO88" s="3" t="s">
        <v>97</v>
      </c>
      <c r="AP88" s="3">
        <v>1.0</v>
      </c>
      <c r="AQ88" s="3" t="s">
        <v>1260</v>
      </c>
      <c r="AR88" s="5" t="s">
        <v>103</v>
      </c>
      <c r="AS88" s="3">
        <v>1.0</v>
      </c>
      <c r="AT88" s="3" t="s">
        <v>94</v>
      </c>
      <c r="AU88" s="5" t="s">
        <v>104</v>
      </c>
      <c r="AV88" s="5">
        <v>1.0</v>
      </c>
      <c r="AW88" s="3" t="s">
        <v>1261</v>
      </c>
      <c r="AX88" s="5" t="s">
        <v>106</v>
      </c>
      <c r="AY88" s="5">
        <v>0.25</v>
      </c>
      <c r="AZ88" s="3" t="s">
        <v>1262</v>
      </c>
      <c r="BA88" s="5" t="s">
        <v>108</v>
      </c>
      <c r="BB88" s="5">
        <v>0.5</v>
      </c>
      <c r="BC88" s="3" t="s">
        <v>109</v>
      </c>
      <c r="BD88" s="5" t="s">
        <v>110</v>
      </c>
      <c r="BE88" s="3">
        <v>1.0</v>
      </c>
      <c r="BF88" s="3" t="s">
        <v>1263</v>
      </c>
      <c r="BG88" s="5" t="s">
        <v>112</v>
      </c>
      <c r="BH88" s="5">
        <v>0.25</v>
      </c>
      <c r="BI88" s="3" t="s">
        <v>1264</v>
      </c>
      <c r="BJ88" s="5" t="s">
        <v>114</v>
      </c>
      <c r="BK88" s="5">
        <v>1.0</v>
      </c>
      <c r="BL88" s="3" t="s">
        <v>115</v>
      </c>
      <c r="BM88" s="5" t="s">
        <v>116</v>
      </c>
      <c r="BN88" s="5">
        <v>1.0</v>
      </c>
      <c r="BO88" s="3" t="s">
        <v>117</v>
      </c>
      <c r="BP88" s="3"/>
      <c r="BQ88" s="3">
        <v>1.0</v>
      </c>
      <c r="BR88" s="3" t="s">
        <v>402</v>
      </c>
      <c r="BS88" s="5" t="s">
        <v>119</v>
      </c>
      <c r="BT88" s="5">
        <v>0.5</v>
      </c>
      <c r="BU88" s="3" t="s">
        <v>1265</v>
      </c>
      <c r="BV88" s="5" t="s">
        <v>121</v>
      </c>
      <c r="BW88" s="5">
        <v>0.5</v>
      </c>
      <c r="BX88" s="3" t="s">
        <v>1266</v>
      </c>
      <c r="BY88" s="5" t="s">
        <v>123</v>
      </c>
      <c r="BZ88" s="5">
        <v>0.5</v>
      </c>
      <c r="CA88" s="3" t="s">
        <v>97</v>
      </c>
      <c r="CB88" s="3" t="s">
        <v>1267</v>
      </c>
      <c r="CC88" s="3" t="s">
        <v>97</v>
      </c>
      <c r="CD88" s="3" t="s">
        <v>125</v>
      </c>
      <c r="CE88" s="3" t="s">
        <v>823</v>
      </c>
      <c r="CF88" s="3" t="s">
        <v>97</v>
      </c>
      <c r="CG88" s="3" t="s">
        <v>1268</v>
      </c>
      <c r="CH88" s="3">
        <v>7.0</v>
      </c>
    </row>
    <row r="89" ht="14.25" customHeight="1">
      <c r="A89" s="3">
        <v>44732.3318496181</v>
      </c>
      <c r="B89" s="3" t="s">
        <v>86</v>
      </c>
      <c r="C89" s="3">
        <f t="shared" si="1"/>
        <v>1</v>
      </c>
      <c r="D89" s="3" t="s">
        <v>87</v>
      </c>
      <c r="E89" s="3" t="s">
        <v>88</v>
      </c>
      <c r="F89" s="3">
        <f t="shared" si="2"/>
        <v>1</v>
      </c>
      <c r="G89" s="3" t="s">
        <v>130</v>
      </c>
      <c r="H89" s="3" t="s">
        <v>1256</v>
      </c>
      <c r="I89" s="3">
        <v>2.0</v>
      </c>
      <c r="J89" s="3" t="s">
        <v>91</v>
      </c>
      <c r="K89" s="3">
        <f t="shared" si="3"/>
        <v>1</v>
      </c>
      <c r="L89" s="3" t="s">
        <v>133</v>
      </c>
      <c r="M89" s="3">
        <f t="shared" si="4"/>
        <v>0</v>
      </c>
      <c r="N89" s="4"/>
      <c r="O89" s="3" t="s">
        <v>93</v>
      </c>
      <c r="P89" s="3" t="s">
        <v>16</v>
      </c>
      <c r="Q89" s="3">
        <v>1.0</v>
      </c>
      <c r="R89" s="3">
        <v>0.0</v>
      </c>
      <c r="S89" s="3">
        <v>0.0</v>
      </c>
      <c r="T89" s="3">
        <v>0.0</v>
      </c>
      <c r="U89" s="3">
        <v>0.0</v>
      </c>
      <c r="V89" s="3">
        <v>0.0</v>
      </c>
      <c r="W89" s="3">
        <v>0.0</v>
      </c>
      <c r="X89" s="3">
        <v>0.0</v>
      </c>
      <c r="Y89" s="3">
        <v>0.0</v>
      </c>
      <c r="Z89" s="3">
        <v>0.0</v>
      </c>
      <c r="AA89" s="3">
        <v>0.0</v>
      </c>
      <c r="AB89" s="3">
        <v>0.0</v>
      </c>
      <c r="AC89" s="3">
        <v>0.0</v>
      </c>
      <c r="AD89" s="3" t="s">
        <v>1269</v>
      </c>
      <c r="AE89" s="5" t="s">
        <v>96</v>
      </c>
      <c r="AF89" s="5">
        <v>0.5</v>
      </c>
      <c r="AG89" s="3" t="s">
        <v>97</v>
      </c>
      <c r="AH89" s="3">
        <v>1.0</v>
      </c>
      <c r="AI89" s="3" t="s">
        <v>1270</v>
      </c>
      <c r="AJ89" s="5" t="s">
        <v>99</v>
      </c>
      <c r="AK89" s="5">
        <v>1.0</v>
      </c>
      <c r="AL89" s="3" t="s">
        <v>1271</v>
      </c>
      <c r="AM89" s="5" t="s">
        <v>101</v>
      </c>
      <c r="AN89" s="5">
        <v>0.5</v>
      </c>
      <c r="AO89" s="3" t="s">
        <v>167</v>
      </c>
      <c r="AP89" s="3">
        <v>0.0</v>
      </c>
      <c r="AQ89" s="3" t="s">
        <v>1272</v>
      </c>
      <c r="AR89" s="5" t="s">
        <v>103</v>
      </c>
      <c r="AS89" s="3">
        <v>1.0</v>
      </c>
      <c r="AT89" s="3" t="s">
        <v>555</v>
      </c>
      <c r="AU89" s="5" t="s">
        <v>104</v>
      </c>
      <c r="AV89" s="5">
        <v>1.0</v>
      </c>
      <c r="AW89" s="3" t="s">
        <v>1273</v>
      </c>
      <c r="AX89" s="5" t="s">
        <v>106</v>
      </c>
      <c r="AY89" s="5">
        <v>0.25</v>
      </c>
      <c r="AZ89" s="3" t="s">
        <v>1274</v>
      </c>
      <c r="BA89" s="5" t="s">
        <v>108</v>
      </c>
      <c r="BB89" s="5">
        <v>0.75</v>
      </c>
      <c r="BC89" s="3" t="s">
        <v>109</v>
      </c>
      <c r="BD89" s="5" t="s">
        <v>110</v>
      </c>
      <c r="BE89" s="3">
        <v>1.0</v>
      </c>
      <c r="BF89" s="3" t="s">
        <v>1275</v>
      </c>
      <c r="BG89" s="5" t="s">
        <v>112</v>
      </c>
      <c r="BH89" s="5">
        <v>0.0</v>
      </c>
      <c r="BI89" s="3" t="s">
        <v>105</v>
      </c>
      <c r="BJ89" s="5" t="s">
        <v>114</v>
      </c>
      <c r="BK89" s="5">
        <v>1.0</v>
      </c>
      <c r="BL89" s="3" t="s">
        <v>115</v>
      </c>
      <c r="BM89" s="5" t="s">
        <v>116</v>
      </c>
      <c r="BN89" s="5">
        <v>1.0</v>
      </c>
      <c r="BO89" s="3" t="s">
        <v>117</v>
      </c>
      <c r="BP89" s="3"/>
      <c r="BQ89" s="3">
        <v>1.0</v>
      </c>
      <c r="BR89" s="3" t="s">
        <v>311</v>
      </c>
      <c r="BS89" s="5" t="s">
        <v>119</v>
      </c>
      <c r="BT89" s="5">
        <v>0.5</v>
      </c>
      <c r="BU89" s="3" t="s">
        <v>1276</v>
      </c>
      <c r="BV89" s="5" t="s">
        <v>121</v>
      </c>
      <c r="BW89" s="5">
        <v>0.0</v>
      </c>
      <c r="BX89" s="3" t="s">
        <v>1277</v>
      </c>
      <c r="BY89" s="5" t="s">
        <v>123</v>
      </c>
      <c r="BZ89" s="5">
        <v>0.5</v>
      </c>
      <c r="CA89" s="3" t="s">
        <v>97</v>
      </c>
      <c r="CB89" s="3" t="s">
        <v>1278</v>
      </c>
      <c r="CC89" s="3" t="s">
        <v>97</v>
      </c>
      <c r="CD89" s="3" t="s">
        <v>165</v>
      </c>
      <c r="CE89" s="3" t="s">
        <v>1279</v>
      </c>
      <c r="CF89" s="3" t="s">
        <v>97</v>
      </c>
      <c r="CG89" s="3" t="s">
        <v>1280</v>
      </c>
      <c r="CH89" s="3">
        <v>5.0</v>
      </c>
    </row>
    <row r="90" ht="14.25" customHeight="1">
      <c r="A90" s="3">
        <v>44732.3398729051</v>
      </c>
      <c r="B90" s="3" t="s">
        <v>86</v>
      </c>
      <c r="C90" s="3">
        <f t="shared" si="1"/>
        <v>1</v>
      </c>
      <c r="D90" s="3" t="s">
        <v>169</v>
      </c>
      <c r="E90" s="3" t="s">
        <v>170</v>
      </c>
      <c r="F90" s="3">
        <f t="shared" si="2"/>
        <v>2</v>
      </c>
      <c r="G90" s="3" t="s">
        <v>130</v>
      </c>
      <c r="H90" s="3" t="s">
        <v>171</v>
      </c>
      <c r="I90" s="3">
        <v>1.0</v>
      </c>
      <c r="J90" s="3" t="s">
        <v>91</v>
      </c>
      <c r="K90" s="3">
        <f t="shared" si="3"/>
        <v>1</v>
      </c>
      <c r="L90" s="3" t="s">
        <v>133</v>
      </c>
      <c r="M90" s="3">
        <f t="shared" si="4"/>
        <v>0</v>
      </c>
      <c r="N90" s="4"/>
      <c r="O90" s="3" t="s">
        <v>93</v>
      </c>
      <c r="P90" s="3" t="s">
        <v>380</v>
      </c>
      <c r="Q90" s="3">
        <v>1.0</v>
      </c>
      <c r="R90" s="3">
        <v>0.0</v>
      </c>
      <c r="S90" s="3">
        <v>0.0</v>
      </c>
      <c r="T90" s="3">
        <v>0.0</v>
      </c>
      <c r="U90" s="3">
        <v>0.0</v>
      </c>
      <c r="V90" s="3">
        <v>0.0</v>
      </c>
      <c r="W90" s="3">
        <v>0.0</v>
      </c>
      <c r="X90" s="3">
        <v>0.0</v>
      </c>
      <c r="Y90" s="3">
        <v>0.0</v>
      </c>
      <c r="Z90" s="3">
        <v>1.0</v>
      </c>
      <c r="AA90" s="3">
        <v>0.0</v>
      </c>
      <c r="AB90" s="3">
        <v>0.0</v>
      </c>
      <c r="AC90" s="3">
        <v>0.0</v>
      </c>
      <c r="AD90" s="3" t="s">
        <v>1281</v>
      </c>
      <c r="AE90" s="5" t="s">
        <v>96</v>
      </c>
      <c r="AF90" s="5">
        <v>0.75</v>
      </c>
      <c r="AG90" s="3" t="s">
        <v>97</v>
      </c>
      <c r="AH90" s="3">
        <v>1.0</v>
      </c>
      <c r="AI90" s="3" t="s">
        <v>1282</v>
      </c>
      <c r="AJ90" s="5" t="s">
        <v>99</v>
      </c>
      <c r="AK90" s="5">
        <v>1.0</v>
      </c>
      <c r="AL90" s="3" t="s">
        <v>1283</v>
      </c>
      <c r="AM90" s="5" t="s">
        <v>101</v>
      </c>
      <c r="AN90" s="5">
        <v>0.5</v>
      </c>
      <c r="AO90" s="3" t="s">
        <v>97</v>
      </c>
      <c r="AP90" s="3">
        <v>1.0</v>
      </c>
      <c r="AQ90" s="3" t="s">
        <v>1284</v>
      </c>
      <c r="AR90" s="5" t="s">
        <v>103</v>
      </c>
      <c r="AS90" s="3">
        <v>1.0</v>
      </c>
      <c r="AT90" s="3" t="s">
        <v>94</v>
      </c>
      <c r="AU90" s="5" t="s">
        <v>104</v>
      </c>
      <c r="AV90" s="5">
        <v>1.0</v>
      </c>
      <c r="AW90" s="3" t="s">
        <v>1285</v>
      </c>
      <c r="AX90" s="5" t="s">
        <v>106</v>
      </c>
      <c r="AY90" s="5">
        <v>0.25</v>
      </c>
      <c r="AZ90" s="3" t="s">
        <v>1286</v>
      </c>
      <c r="BA90" s="5" t="s">
        <v>108</v>
      </c>
      <c r="BB90" s="5">
        <v>0.75</v>
      </c>
      <c r="BC90" s="3" t="s">
        <v>109</v>
      </c>
      <c r="BD90" s="5" t="s">
        <v>110</v>
      </c>
      <c r="BE90" s="3">
        <v>1.0</v>
      </c>
      <c r="BF90" s="3" t="s">
        <v>1287</v>
      </c>
      <c r="BG90" s="5" t="s">
        <v>112</v>
      </c>
      <c r="BH90" s="5">
        <v>0.5</v>
      </c>
      <c r="BI90" s="3" t="s">
        <v>1288</v>
      </c>
      <c r="BJ90" s="5" t="s">
        <v>114</v>
      </c>
      <c r="BK90" s="5">
        <v>1.0</v>
      </c>
      <c r="BL90" s="3" t="s">
        <v>115</v>
      </c>
      <c r="BM90" s="5" t="s">
        <v>116</v>
      </c>
      <c r="BN90" s="5">
        <v>1.0</v>
      </c>
      <c r="BO90" s="3" t="s">
        <v>117</v>
      </c>
      <c r="BP90" s="3"/>
      <c r="BQ90" s="3">
        <v>1.0</v>
      </c>
      <c r="BR90" s="3" t="s">
        <v>1289</v>
      </c>
      <c r="BS90" s="5" t="s">
        <v>119</v>
      </c>
      <c r="BT90" s="5">
        <v>0.5</v>
      </c>
      <c r="BU90" s="3" t="s">
        <v>1290</v>
      </c>
      <c r="BV90" s="5" t="s">
        <v>121</v>
      </c>
      <c r="BW90" s="5">
        <v>0.25</v>
      </c>
      <c r="BX90" s="3" t="s">
        <v>1291</v>
      </c>
      <c r="BY90" s="5" t="s">
        <v>123</v>
      </c>
      <c r="BZ90" s="5">
        <v>0.5</v>
      </c>
      <c r="CA90" s="3" t="s">
        <v>97</v>
      </c>
      <c r="CB90" s="3" t="s">
        <v>1292</v>
      </c>
      <c r="CC90" s="3" t="s">
        <v>97</v>
      </c>
      <c r="CD90" s="3" t="s">
        <v>125</v>
      </c>
      <c r="CE90" s="3" t="s">
        <v>1293</v>
      </c>
      <c r="CF90" s="3" t="s">
        <v>97</v>
      </c>
      <c r="CG90" s="3" t="s">
        <v>1294</v>
      </c>
      <c r="CH90" s="3">
        <v>6.0</v>
      </c>
    </row>
    <row r="91" ht="14.25" customHeight="1">
      <c r="A91" s="3">
        <v>44732.3447580208</v>
      </c>
      <c r="B91" s="3" t="s">
        <v>86</v>
      </c>
      <c r="C91" s="3">
        <f t="shared" si="1"/>
        <v>1</v>
      </c>
      <c r="D91" s="3" t="s">
        <v>169</v>
      </c>
      <c r="E91" s="3" t="s">
        <v>170</v>
      </c>
      <c r="F91" s="3">
        <f t="shared" si="2"/>
        <v>2</v>
      </c>
      <c r="G91" s="3" t="s">
        <v>130</v>
      </c>
      <c r="H91" s="3" t="s">
        <v>171</v>
      </c>
      <c r="I91" s="3">
        <v>1.0</v>
      </c>
      <c r="J91" s="3" t="s">
        <v>91</v>
      </c>
      <c r="K91" s="3">
        <f t="shared" si="3"/>
        <v>1</v>
      </c>
      <c r="L91" s="3" t="s">
        <v>133</v>
      </c>
      <c r="M91" s="3">
        <f t="shared" si="4"/>
        <v>0</v>
      </c>
      <c r="N91" s="4"/>
      <c r="O91" s="3" t="s">
        <v>93</v>
      </c>
      <c r="P91" s="3" t="s">
        <v>595</v>
      </c>
      <c r="Q91" s="3">
        <v>0.0</v>
      </c>
      <c r="R91" s="3">
        <v>1.0</v>
      </c>
      <c r="S91" s="3">
        <v>0.0</v>
      </c>
      <c r="T91" s="3">
        <v>0.0</v>
      </c>
      <c r="U91" s="3">
        <v>0.0</v>
      </c>
      <c r="V91" s="3">
        <v>0.0</v>
      </c>
      <c r="W91" s="3">
        <v>0.0</v>
      </c>
      <c r="X91" s="3">
        <v>1.0</v>
      </c>
      <c r="Y91" s="3">
        <v>0.0</v>
      </c>
      <c r="Z91" s="3">
        <v>0.0</v>
      </c>
      <c r="AA91" s="3">
        <v>0.0</v>
      </c>
      <c r="AB91" s="3">
        <v>0.0</v>
      </c>
      <c r="AC91" s="3">
        <v>0.0</v>
      </c>
      <c r="AD91" s="3" t="s">
        <v>1295</v>
      </c>
      <c r="AE91" s="5" t="s">
        <v>96</v>
      </c>
      <c r="AF91" s="5">
        <v>0.25</v>
      </c>
      <c r="AG91" s="3" t="s">
        <v>97</v>
      </c>
      <c r="AH91" s="3">
        <v>1.0</v>
      </c>
      <c r="AI91" s="3" t="s">
        <v>1296</v>
      </c>
      <c r="AJ91" s="5" t="s">
        <v>99</v>
      </c>
      <c r="AK91" s="5">
        <v>1.0</v>
      </c>
      <c r="AL91" s="3" t="s">
        <v>1297</v>
      </c>
      <c r="AM91" s="5" t="s">
        <v>101</v>
      </c>
      <c r="AN91" s="5">
        <v>0.75</v>
      </c>
      <c r="AO91" s="3" t="s">
        <v>97</v>
      </c>
      <c r="AP91" s="3">
        <v>1.0</v>
      </c>
      <c r="AQ91" s="3" t="s">
        <v>1298</v>
      </c>
      <c r="AR91" s="5" t="s">
        <v>103</v>
      </c>
      <c r="AS91" s="3">
        <v>1.0</v>
      </c>
      <c r="AT91" s="3" t="s">
        <v>94</v>
      </c>
      <c r="AU91" s="5" t="s">
        <v>104</v>
      </c>
      <c r="AV91" s="5">
        <v>1.0</v>
      </c>
      <c r="AW91" s="3" t="s">
        <v>1299</v>
      </c>
      <c r="AX91" s="5" t="s">
        <v>106</v>
      </c>
      <c r="AY91" s="5">
        <v>0.0</v>
      </c>
      <c r="AZ91" s="3" t="s">
        <v>1300</v>
      </c>
      <c r="BA91" s="5" t="s">
        <v>108</v>
      </c>
      <c r="BB91" s="5">
        <v>0.5</v>
      </c>
      <c r="BC91" s="3" t="s">
        <v>109</v>
      </c>
      <c r="BD91" s="5" t="s">
        <v>110</v>
      </c>
      <c r="BE91" s="3">
        <v>1.0</v>
      </c>
      <c r="BF91" s="3" t="s">
        <v>1301</v>
      </c>
      <c r="BG91" s="5" t="s">
        <v>112</v>
      </c>
      <c r="BH91" s="5">
        <v>0.0</v>
      </c>
      <c r="BI91" s="3" t="s">
        <v>105</v>
      </c>
      <c r="BJ91" s="5" t="s">
        <v>114</v>
      </c>
      <c r="BK91" s="5">
        <v>1.0</v>
      </c>
      <c r="BL91" s="3" t="s">
        <v>115</v>
      </c>
      <c r="BM91" s="5" t="s">
        <v>116</v>
      </c>
      <c r="BN91" s="5">
        <v>1.0</v>
      </c>
      <c r="BO91" s="3" t="s">
        <v>160</v>
      </c>
      <c r="BP91" s="3"/>
      <c r="BQ91" s="3">
        <v>0.0</v>
      </c>
      <c r="BR91" s="3" t="s">
        <v>118</v>
      </c>
      <c r="BS91" s="5" t="s">
        <v>119</v>
      </c>
      <c r="BT91" s="5">
        <v>0.5</v>
      </c>
      <c r="BU91" s="3" t="s">
        <v>1302</v>
      </c>
      <c r="BV91" s="5" t="s">
        <v>121</v>
      </c>
      <c r="BW91" s="5">
        <v>0.5</v>
      </c>
      <c r="BX91" s="3" t="s">
        <v>1123</v>
      </c>
      <c r="BY91" s="5" t="s">
        <v>123</v>
      </c>
      <c r="BZ91" s="5">
        <v>0.5</v>
      </c>
      <c r="CA91" s="3" t="s">
        <v>97</v>
      </c>
      <c r="CB91" s="3" t="s">
        <v>1303</v>
      </c>
      <c r="CC91" s="3" t="s">
        <v>97</v>
      </c>
      <c r="CD91" s="3" t="s">
        <v>125</v>
      </c>
      <c r="CE91" s="3" t="s">
        <v>823</v>
      </c>
      <c r="CF91" s="3" t="s">
        <v>97</v>
      </c>
      <c r="CG91" s="3" t="s">
        <v>1304</v>
      </c>
      <c r="CH91" s="3">
        <v>5.0</v>
      </c>
    </row>
    <row r="92" ht="14.25" customHeight="1">
      <c r="A92" s="3">
        <v>44732.3504712732</v>
      </c>
      <c r="B92" s="3" t="s">
        <v>86</v>
      </c>
      <c r="C92" s="3">
        <f t="shared" si="1"/>
        <v>1</v>
      </c>
      <c r="D92" s="3" t="s">
        <v>128</v>
      </c>
      <c r="E92" s="3" t="s">
        <v>129</v>
      </c>
      <c r="F92" s="3">
        <f t="shared" si="2"/>
        <v>3</v>
      </c>
      <c r="G92" s="3" t="s">
        <v>130</v>
      </c>
      <c r="H92" s="3" t="s">
        <v>131</v>
      </c>
      <c r="I92" s="3">
        <v>1.0</v>
      </c>
      <c r="J92" s="3" t="s">
        <v>91</v>
      </c>
      <c r="K92" s="3">
        <f t="shared" si="3"/>
        <v>1</v>
      </c>
      <c r="L92" s="3" t="s">
        <v>133</v>
      </c>
      <c r="M92" s="3">
        <f t="shared" si="4"/>
        <v>0</v>
      </c>
      <c r="N92" s="4"/>
      <c r="O92" s="3" t="s">
        <v>93</v>
      </c>
      <c r="P92" s="3" t="s">
        <v>380</v>
      </c>
      <c r="Q92" s="3">
        <v>1.0</v>
      </c>
      <c r="R92" s="3">
        <v>0.0</v>
      </c>
      <c r="S92" s="3">
        <v>0.0</v>
      </c>
      <c r="T92" s="3">
        <v>0.0</v>
      </c>
      <c r="U92" s="3">
        <v>0.0</v>
      </c>
      <c r="V92" s="3">
        <v>0.0</v>
      </c>
      <c r="W92" s="3">
        <v>0.0</v>
      </c>
      <c r="X92" s="3">
        <v>0.0</v>
      </c>
      <c r="Y92" s="3">
        <v>0.0</v>
      </c>
      <c r="Z92" s="3">
        <v>1.0</v>
      </c>
      <c r="AA92" s="3">
        <v>0.0</v>
      </c>
      <c r="AB92" s="3">
        <v>0.0</v>
      </c>
      <c r="AC92" s="3">
        <v>0.0</v>
      </c>
      <c r="AD92" s="3" t="s">
        <v>1305</v>
      </c>
      <c r="AE92" s="5" t="s">
        <v>96</v>
      </c>
      <c r="AF92" s="5">
        <v>0.25</v>
      </c>
      <c r="AG92" s="3" t="s">
        <v>97</v>
      </c>
      <c r="AH92" s="3">
        <v>1.0</v>
      </c>
      <c r="AI92" s="3" t="s">
        <v>1270</v>
      </c>
      <c r="AJ92" s="5" t="s">
        <v>99</v>
      </c>
      <c r="AK92" s="5">
        <v>1.0</v>
      </c>
      <c r="AL92" s="3" t="s">
        <v>1306</v>
      </c>
      <c r="AM92" s="5" t="s">
        <v>101</v>
      </c>
      <c r="AN92" s="5">
        <v>0.75</v>
      </c>
      <c r="AO92" s="3" t="s">
        <v>167</v>
      </c>
      <c r="AP92" s="3">
        <v>0.0</v>
      </c>
      <c r="AQ92" s="3" t="s">
        <v>1307</v>
      </c>
      <c r="AR92" s="5" t="s">
        <v>103</v>
      </c>
      <c r="AS92" s="3">
        <v>1.0</v>
      </c>
      <c r="AT92" s="3" t="s">
        <v>94</v>
      </c>
      <c r="AU92" s="5" t="s">
        <v>104</v>
      </c>
      <c r="AV92" s="5">
        <v>1.0</v>
      </c>
      <c r="AW92" s="3" t="s">
        <v>1308</v>
      </c>
      <c r="AX92" s="5" t="s">
        <v>106</v>
      </c>
      <c r="AY92" s="5">
        <v>0.25</v>
      </c>
      <c r="AZ92" s="3" t="s">
        <v>1080</v>
      </c>
      <c r="BA92" s="5" t="s">
        <v>108</v>
      </c>
      <c r="BB92" s="5">
        <v>0.5</v>
      </c>
      <c r="BC92" s="3" t="s">
        <v>109</v>
      </c>
      <c r="BD92" s="5" t="s">
        <v>110</v>
      </c>
      <c r="BE92" s="3">
        <v>1.0</v>
      </c>
      <c r="BF92" s="3" t="s">
        <v>1309</v>
      </c>
      <c r="BG92" s="5" t="s">
        <v>112</v>
      </c>
      <c r="BH92" s="5">
        <v>0.0</v>
      </c>
      <c r="BI92" s="3" t="s">
        <v>1310</v>
      </c>
      <c r="BJ92" s="5" t="s">
        <v>114</v>
      </c>
      <c r="BK92" s="5">
        <v>1.0</v>
      </c>
      <c r="BL92" s="3" t="s">
        <v>115</v>
      </c>
      <c r="BM92" s="5" t="s">
        <v>116</v>
      </c>
      <c r="BN92" s="5">
        <v>1.0</v>
      </c>
      <c r="BO92" s="3" t="s">
        <v>117</v>
      </c>
      <c r="BP92" s="3"/>
      <c r="BQ92" s="3">
        <v>1.0</v>
      </c>
      <c r="BR92" s="3" t="s">
        <v>181</v>
      </c>
      <c r="BS92" s="5" t="s">
        <v>119</v>
      </c>
      <c r="BT92" s="5">
        <v>1.0</v>
      </c>
      <c r="BU92" s="3" t="s">
        <v>1311</v>
      </c>
      <c r="BV92" s="5" t="s">
        <v>121</v>
      </c>
      <c r="BW92" s="5">
        <v>0.5</v>
      </c>
      <c r="BX92" s="3" t="s">
        <v>1312</v>
      </c>
      <c r="BY92" s="5" t="s">
        <v>123</v>
      </c>
      <c r="BZ92" s="5">
        <v>0.5</v>
      </c>
      <c r="CA92" s="3" t="s">
        <v>167</v>
      </c>
      <c r="CB92" s="3" t="s">
        <v>1221</v>
      </c>
      <c r="CC92" s="3" t="s">
        <v>97</v>
      </c>
      <c r="CD92" s="3" t="s">
        <v>125</v>
      </c>
      <c r="CE92" s="3" t="s">
        <v>1313</v>
      </c>
      <c r="CF92" s="3" t="s">
        <v>97</v>
      </c>
      <c r="CG92" s="3" t="s">
        <v>1314</v>
      </c>
      <c r="CH92" s="3">
        <v>5.0</v>
      </c>
    </row>
    <row r="93" ht="14.25" customHeight="1">
      <c r="A93" s="3">
        <v>44732.3571054745</v>
      </c>
      <c r="B93" s="3" t="s">
        <v>86</v>
      </c>
      <c r="C93" s="3">
        <f t="shared" si="1"/>
        <v>1</v>
      </c>
      <c r="D93" s="3" t="s">
        <v>169</v>
      </c>
      <c r="E93" s="3" t="s">
        <v>170</v>
      </c>
      <c r="F93" s="3">
        <f t="shared" si="2"/>
        <v>2</v>
      </c>
      <c r="G93" s="3" t="s">
        <v>130</v>
      </c>
      <c r="H93" s="3" t="s">
        <v>131</v>
      </c>
      <c r="I93" s="3">
        <v>1.0</v>
      </c>
      <c r="J93" s="3" t="s">
        <v>132</v>
      </c>
      <c r="K93" s="3">
        <f t="shared" si="3"/>
        <v>0</v>
      </c>
      <c r="L93" s="3" t="s">
        <v>133</v>
      </c>
      <c r="M93" s="3">
        <f t="shared" si="4"/>
        <v>0</v>
      </c>
      <c r="N93" s="4"/>
      <c r="O93" s="3" t="s">
        <v>93</v>
      </c>
      <c r="P93" s="3" t="s">
        <v>1315</v>
      </c>
      <c r="Q93" s="3">
        <v>1.0</v>
      </c>
      <c r="R93" s="3">
        <v>1.0</v>
      </c>
      <c r="S93" s="3">
        <v>0.0</v>
      </c>
      <c r="T93" s="3">
        <v>0.0</v>
      </c>
      <c r="U93" s="3">
        <v>0.0</v>
      </c>
      <c r="V93" s="3">
        <v>0.0</v>
      </c>
      <c r="W93" s="3">
        <v>1.0</v>
      </c>
      <c r="X93" s="3">
        <v>1.0</v>
      </c>
      <c r="Y93" s="3">
        <v>0.0</v>
      </c>
      <c r="Z93" s="3">
        <v>0.0</v>
      </c>
      <c r="AA93" s="3">
        <v>0.0</v>
      </c>
      <c r="AB93" s="3">
        <v>0.0</v>
      </c>
      <c r="AC93" s="3">
        <v>0.0</v>
      </c>
      <c r="AD93" s="3" t="s">
        <v>1316</v>
      </c>
      <c r="AE93" s="5" t="s">
        <v>96</v>
      </c>
      <c r="AF93" s="5">
        <v>0.25</v>
      </c>
      <c r="AG93" s="3" t="s">
        <v>167</v>
      </c>
      <c r="AH93" s="3">
        <v>0.0</v>
      </c>
      <c r="AI93" s="3" t="s">
        <v>1317</v>
      </c>
      <c r="AJ93" s="5" t="s">
        <v>99</v>
      </c>
      <c r="AK93" s="5">
        <v>0.0</v>
      </c>
      <c r="AL93" s="3" t="s">
        <v>1318</v>
      </c>
      <c r="AM93" s="5" t="s">
        <v>101</v>
      </c>
      <c r="AN93" s="5">
        <v>0.0</v>
      </c>
      <c r="AO93" s="3" t="s">
        <v>97</v>
      </c>
      <c r="AP93" s="3">
        <v>1.0</v>
      </c>
      <c r="AQ93" s="3" t="s">
        <v>1319</v>
      </c>
      <c r="AR93" s="5" t="s">
        <v>103</v>
      </c>
      <c r="AS93" s="3">
        <v>0.0</v>
      </c>
      <c r="AT93" s="3" t="s">
        <v>94</v>
      </c>
      <c r="AU93" s="5" t="s">
        <v>104</v>
      </c>
      <c r="AV93" s="5">
        <v>1.0</v>
      </c>
      <c r="AW93" s="3" t="s">
        <v>823</v>
      </c>
      <c r="AX93" s="5" t="s">
        <v>106</v>
      </c>
      <c r="AY93" s="5">
        <v>0.0</v>
      </c>
      <c r="AZ93" s="3" t="s">
        <v>1320</v>
      </c>
      <c r="BA93" s="5" t="s">
        <v>108</v>
      </c>
      <c r="BB93" s="5">
        <v>0.75</v>
      </c>
      <c r="BC93" s="3" t="s">
        <v>109</v>
      </c>
      <c r="BD93" s="5" t="s">
        <v>110</v>
      </c>
      <c r="BE93" s="3">
        <v>1.0</v>
      </c>
      <c r="BF93" s="3" t="s">
        <v>1321</v>
      </c>
      <c r="BG93" s="5" t="s">
        <v>112</v>
      </c>
      <c r="BH93" s="5">
        <v>0.0</v>
      </c>
      <c r="BI93" s="3" t="s">
        <v>1322</v>
      </c>
      <c r="BJ93" s="5" t="s">
        <v>114</v>
      </c>
      <c r="BK93" s="5">
        <v>1.0</v>
      </c>
      <c r="BL93" s="3" t="s">
        <v>1323</v>
      </c>
      <c r="BM93" s="5" t="s">
        <v>116</v>
      </c>
      <c r="BN93" s="5">
        <v>1.0</v>
      </c>
      <c r="BO93" s="3" t="s">
        <v>117</v>
      </c>
      <c r="BP93" s="3"/>
      <c r="BQ93" s="3">
        <v>1.0</v>
      </c>
      <c r="BR93" s="3" t="s">
        <v>181</v>
      </c>
      <c r="BS93" s="5" t="s">
        <v>119</v>
      </c>
      <c r="BT93" s="5">
        <v>1.0</v>
      </c>
      <c r="BU93" s="3" t="s">
        <v>761</v>
      </c>
      <c r="BV93" s="5" t="s">
        <v>121</v>
      </c>
      <c r="BW93" s="5">
        <v>0.75</v>
      </c>
      <c r="BX93" s="3" t="s">
        <v>1324</v>
      </c>
      <c r="BY93" s="5" t="s">
        <v>123</v>
      </c>
      <c r="BZ93" s="5">
        <v>0.5</v>
      </c>
      <c r="CA93" s="3" t="s">
        <v>1325</v>
      </c>
      <c r="CB93" s="3" t="s">
        <v>761</v>
      </c>
      <c r="CC93" s="3" t="s">
        <v>97</v>
      </c>
      <c r="CD93" s="3" t="s">
        <v>125</v>
      </c>
      <c r="CE93" s="3" t="s">
        <v>1326</v>
      </c>
      <c r="CF93" s="3" t="s">
        <v>97</v>
      </c>
      <c r="CG93" s="3" t="s">
        <v>1327</v>
      </c>
      <c r="CH93" s="3">
        <v>4.0</v>
      </c>
    </row>
    <row r="94" ht="14.25" customHeight="1">
      <c r="A94" s="3">
        <v>44732.6657702083</v>
      </c>
      <c r="B94" s="3" t="s">
        <v>149</v>
      </c>
      <c r="C94" s="3">
        <f t="shared" si="1"/>
        <v>0</v>
      </c>
      <c r="D94" s="3" t="s">
        <v>128</v>
      </c>
      <c r="E94" s="3" t="s">
        <v>129</v>
      </c>
      <c r="F94" s="3">
        <f t="shared" si="2"/>
        <v>3</v>
      </c>
      <c r="G94" s="3" t="s">
        <v>1113</v>
      </c>
      <c r="H94" s="3" t="s">
        <v>448</v>
      </c>
      <c r="I94" s="3">
        <v>1.0</v>
      </c>
      <c r="J94" s="3" t="s">
        <v>132</v>
      </c>
      <c r="K94" s="3">
        <f t="shared" si="3"/>
        <v>0</v>
      </c>
      <c r="L94" s="3" t="s">
        <v>133</v>
      </c>
      <c r="M94" s="3">
        <f t="shared" si="4"/>
        <v>0</v>
      </c>
      <c r="N94" s="4"/>
      <c r="O94" s="3" t="s">
        <v>93</v>
      </c>
      <c r="P94" s="3" t="s">
        <v>343</v>
      </c>
      <c r="Q94" s="3">
        <v>0.0</v>
      </c>
      <c r="R94" s="3">
        <v>1.0</v>
      </c>
      <c r="S94" s="3">
        <v>0.0</v>
      </c>
      <c r="T94" s="3">
        <v>0.0</v>
      </c>
      <c r="U94" s="3">
        <v>0.0</v>
      </c>
      <c r="V94" s="3">
        <v>0.0</v>
      </c>
      <c r="W94" s="3">
        <v>0.0</v>
      </c>
      <c r="X94" s="3">
        <v>0.0</v>
      </c>
      <c r="Y94" s="3">
        <v>0.0</v>
      </c>
      <c r="Z94" s="3">
        <v>0.0</v>
      </c>
      <c r="AA94" s="3">
        <v>0.0</v>
      </c>
      <c r="AB94" s="3">
        <v>0.0</v>
      </c>
      <c r="AC94" s="3">
        <v>0.0</v>
      </c>
      <c r="AD94" s="3" t="s">
        <v>1328</v>
      </c>
      <c r="AE94" s="5" t="s">
        <v>96</v>
      </c>
      <c r="AF94" s="5">
        <v>0.0</v>
      </c>
      <c r="AG94" s="3" t="s">
        <v>167</v>
      </c>
      <c r="AH94" s="3">
        <v>0.0</v>
      </c>
      <c r="AI94" s="3" t="s">
        <v>1329</v>
      </c>
      <c r="AJ94" s="5" t="s">
        <v>99</v>
      </c>
      <c r="AK94" s="5">
        <v>0.0</v>
      </c>
      <c r="AL94" s="3" t="s">
        <v>1330</v>
      </c>
      <c r="AM94" s="5" t="s">
        <v>101</v>
      </c>
      <c r="AN94" s="5">
        <v>0.0</v>
      </c>
      <c r="AO94" s="3" t="s">
        <v>167</v>
      </c>
      <c r="AP94" s="3">
        <v>0.0</v>
      </c>
      <c r="AQ94" s="3" t="s">
        <v>1331</v>
      </c>
      <c r="AR94" s="5" t="s">
        <v>103</v>
      </c>
      <c r="AS94" s="3">
        <v>0.0</v>
      </c>
      <c r="AT94" s="3" t="s">
        <v>94</v>
      </c>
      <c r="AU94" s="5" t="s">
        <v>104</v>
      </c>
      <c r="AV94" s="5">
        <v>1.0</v>
      </c>
      <c r="AW94" s="3" t="s">
        <v>1332</v>
      </c>
      <c r="AX94" s="5" t="s">
        <v>106</v>
      </c>
      <c r="AY94" s="5">
        <v>0.0</v>
      </c>
      <c r="AZ94" s="3" t="s">
        <v>1333</v>
      </c>
      <c r="BA94" s="5" t="s">
        <v>108</v>
      </c>
      <c r="BB94" s="5">
        <v>0.75</v>
      </c>
      <c r="BC94" s="3" t="s">
        <v>1334</v>
      </c>
      <c r="BD94" s="5" t="s">
        <v>110</v>
      </c>
      <c r="BE94" s="3">
        <v>0.0</v>
      </c>
      <c r="BF94" s="3" t="s">
        <v>1335</v>
      </c>
      <c r="BG94" s="5" t="s">
        <v>112</v>
      </c>
      <c r="BH94" s="5">
        <v>0.0</v>
      </c>
      <c r="BI94" s="3" t="s">
        <v>1336</v>
      </c>
      <c r="BJ94" s="5" t="s">
        <v>114</v>
      </c>
      <c r="BK94" s="5">
        <v>1.0</v>
      </c>
      <c r="BL94" s="3" t="s">
        <v>1337</v>
      </c>
      <c r="BM94" s="5" t="s">
        <v>116</v>
      </c>
      <c r="BN94" s="5">
        <v>1.0</v>
      </c>
      <c r="BO94" s="3" t="s">
        <v>211</v>
      </c>
      <c r="BP94" s="3"/>
      <c r="BQ94" s="3">
        <v>1.0</v>
      </c>
      <c r="BR94" s="3" t="s">
        <v>1338</v>
      </c>
      <c r="BS94" s="5" t="s">
        <v>119</v>
      </c>
      <c r="BT94" s="5">
        <v>0.0</v>
      </c>
      <c r="BU94" s="3" t="s">
        <v>1339</v>
      </c>
      <c r="BV94" s="5" t="s">
        <v>121</v>
      </c>
      <c r="BW94" s="5">
        <v>0.5</v>
      </c>
      <c r="BX94" s="3" t="s">
        <v>1340</v>
      </c>
      <c r="BY94" s="5" t="s">
        <v>123</v>
      </c>
      <c r="BZ94" s="5">
        <v>0.0</v>
      </c>
      <c r="CA94" s="3" t="s">
        <v>97</v>
      </c>
      <c r="CB94" s="3" t="s">
        <v>1341</v>
      </c>
      <c r="CC94" s="3" t="s">
        <v>97</v>
      </c>
      <c r="CD94" s="3" t="s">
        <v>165</v>
      </c>
      <c r="CE94" s="3" t="s">
        <v>1342</v>
      </c>
      <c r="CF94" s="3" t="s">
        <v>167</v>
      </c>
      <c r="CG94" s="3" t="s">
        <v>1343</v>
      </c>
      <c r="CH94" s="3">
        <v>2.0</v>
      </c>
    </row>
    <row r="95" ht="14.25" customHeight="1">
      <c r="A95" s="3">
        <v>44732.6727387847</v>
      </c>
      <c r="B95" s="3" t="s">
        <v>86</v>
      </c>
      <c r="C95" s="3">
        <f t="shared" si="1"/>
        <v>1</v>
      </c>
      <c r="D95" s="3" t="s">
        <v>87</v>
      </c>
      <c r="E95" s="3" t="s">
        <v>88</v>
      </c>
      <c r="F95" s="3">
        <f t="shared" si="2"/>
        <v>1</v>
      </c>
      <c r="G95" s="3" t="s">
        <v>130</v>
      </c>
      <c r="H95" s="3" t="s">
        <v>448</v>
      </c>
      <c r="I95" s="3">
        <v>1.0</v>
      </c>
      <c r="J95" s="3" t="s">
        <v>132</v>
      </c>
      <c r="K95" s="3">
        <f t="shared" si="3"/>
        <v>0</v>
      </c>
      <c r="L95" s="3" t="s">
        <v>133</v>
      </c>
      <c r="M95" s="3">
        <f t="shared" si="4"/>
        <v>0</v>
      </c>
      <c r="N95" s="4"/>
      <c r="O95" s="3" t="s">
        <v>93</v>
      </c>
      <c r="P95" s="3" t="s">
        <v>380</v>
      </c>
      <c r="Q95" s="3">
        <v>1.0</v>
      </c>
      <c r="R95" s="3">
        <v>0.0</v>
      </c>
      <c r="S95" s="3">
        <v>0.0</v>
      </c>
      <c r="T95" s="3">
        <v>0.0</v>
      </c>
      <c r="U95" s="3">
        <v>0.0</v>
      </c>
      <c r="V95" s="3">
        <v>0.0</v>
      </c>
      <c r="W95" s="3">
        <v>0.0</v>
      </c>
      <c r="X95" s="3">
        <v>0.0</v>
      </c>
      <c r="Y95" s="3">
        <v>0.0</v>
      </c>
      <c r="Z95" s="3">
        <v>1.0</v>
      </c>
      <c r="AA95" s="3">
        <v>0.0</v>
      </c>
      <c r="AB95" s="3">
        <v>0.0</v>
      </c>
      <c r="AC95" s="3">
        <v>0.0</v>
      </c>
      <c r="AD95" s="3" t="s">
        <v>1344</v>
      </c>
      <c r="AE95" s="5" t="s">
        <v>96</v>
      </c>
      <c r="AF95" s="5">
        <v>0.25</v>
      </c>
      <c r="AG95" s="3" t="s">
        <v>97</v>
      </c>
      <c r="AH95" s="3">
        <v>1.0</v>
      </c>
      <c r="AI95" s="3" t="s">
        <v>1345</v>
      </c>
      <c r="AJ95" s="5" t="s">
        <v>99</v>
      </c>
      <c r="AK95" s="5">
        <v>1.0</v>
      </c>
      <c r="AL95" s="3" t="s">
        <v>1346</v>
      </c>
      <c r="AM95" s="5" t="s">
        <v>101</v>
      </c>
      <c r="AN95" s="5">
        <v>0.5</v>
      </c>
      <c r="AO95" s="3" t="s">
        <v>97</v>
      </c>
      <c r="AP95" s="3">
        <v>1.0</v>
      </c>
      <c r="AQ95" s="3" t="s">
        <v>1347</v>
      </c>
      <c r="AR95" s="5" t="s">
        <v>103</v>
      </c>
      <c r="AS95" s="3">
        <v>1.0</v>
      </c>
      <c r="AT95" s="3" t="s">
        <v>27</v>
      </c>
      <c r="AU95" s="5" t="s">
        <v>104</v>
      </c>
      <c r="AV95" s="5">
        <v>0.0</v>
      </c>
      <c r="AW95" s="3" t="s">
        <v>1348</v>
      </c>
      <c r="AX95" s="5" t="s">
        <v>106</v>
      </c>
      <c r="AY95" s="5">
        <v>0.25</v>
      </c>
      <c r="AZ95" s="3" t="s">
        <v>1349</v>
      </c>
      <c r="BA95" s="5" t="s">
        <v>108</v>
      </c>
      <c r="BB95" s="5">
        <v>0.5</v>
      </c>
      <c r="BC95" s="3" t="s">
        <v>109</v>
      </c>
      <c r="BD95" s="5" t="s">
        <v>110</v>
      </c>
      <c r="BE95" s="3">
        <v>1.0</v>
      </c>
      <c r="BF95" s="3" t="s">
        <v>1350</v>
      </c>
      <c r="BG95" s="5" t="s">
        <v>112</v>
      </c>
      <c r="BH95" s="5">
        <v>0.5</v>
      </c>
      <c r="BI95" s="3" t="s">
        <v>1351</v>
      </c>
      <c r="BJ95" s="5" t="s">
        <v>114</v>
      </c>
      <c r="BK95" s="5">
        <v>0.0</v>
      </c>
      <c r="BL95" s="3" t="s">
        <v>115</v>
      </c>
      <c r="BM95" s="5" t="s">
        <v>116</v>
      </c>
      <c r="BN95" s="5">
        <v>1.0</v>
      </c>
      <c r="BO95" s="3" t="s">
        <v>117</v>
      </c>
      <c r="BP95" s="3"/>
      <c r="BQ95" s="3">
        <v>1.0</v>
      </c>
      <c r="BR95" s="3" t="s">
        <v>181</v>
      </c>
      <c r="BS95" s="5" t="s">
        <v>119</v>
      </c>
      <c r="BT95" s="5">
        <v>1.0</v>
      </c>
      <c r="BU95" s="3" t="s">
        <v>1352</v>
      </c>
      <c r="BV95" s="5" t="s">
        <v>121</v>
      </c>
      <c r="BW95" s="5">
        <v>0.5</v>
      </c>
      <c r="BX95" s="3" t="s">
        <v>1353</v>
      </c>
      <c r="BY95" s="5" t="s">
        <v>123</v>
      </c>
      <c r="BZ95" s="5">
        <v>0.5</v>
      </c>
      <c r="CA95" s="3" t="s">
        <v>97</v>
      </c>
      <c r="CB95" s="3" t="s">
        <v>1354</v>
      </c>
      <c r="CC95" s="3" t="s">
        <v>97</v>
      </c>
      <c r="CD95" s="3" t="s">
        <v>165</v>
      </c>
      <c r="CE95" s="3" t="s">
        <v>1355</v>
      </c>
      <c r="CF95" s="3" t="s">
        <v>167</v>
      </c>
      <c r="CG95" s="3" t="s">
        <v>1356</v>
      </c>
      <c r="CH95" s="3">
        <v>6.0</v>
      </c>
    </row>
    <row r="96" ht="14.25" customHeight="1">
      <c r="A96" s="3">
        <v>44732.6796178704</v>
      </c>
      <c r="B96" s="3" t="s">
        <v>86</v>
      </c>
      <c r="C96" s="3">
        <f t="shared" si="1"/>
        <v>1</v>
      </c>
      <c r="D96" s="3" t="s">
        <v>87</v>
      </c>
      <c r="E96" s="3" t="s">
        <v>88</v>
      </c>
      <c r="F96" s="3">
        <f t="shared" si="2"/>
        <v>1</v>
      </c>
      <c r="G96" s="3" t="s">
        <v>130</v>
      </c>
      <c r="H96" s="3" t="s">
        <v>1357</v>
      </c>
      <c r="I96" s="3">
        <v>1.0</v>
      </c>
      <c r="J96" s="3" t="s">
        <v>91</v>
      </c>
      <c r="K96" s="3">
        <f t="shared" si="3"/>
        <v>1</v>
      </c>
      <c r="L96" s="3" t="s">
        <v>92</v>
      </c>
      <c r="M96" s="3">
        <f t="shared" si="4"/>
        <v>1</v>
      </c>
      <c r="N96" s="4"/>
      <c r="O96" s="3" t="s">
        <v>93</v>
      </c>
      <c r="P96" s="3" t="s">
        <v>318</v>
      </c>
      <c r="Q96" s="3">
        <v>1.0</v>
      </c>
      <c r="R96" s="3">
        <v>0.0</v>
      </c>
      <c r="S96" s="3">
        <v>0.0</v>
      </c>
      <c r="T96" s="3">
        <v>0.0</v>
      </c>
      <c r="U96" s="3">
        <v>0.0</v>
      </c>
      <c r="V96" s="3">
        <v>0.0</v>
      </c>
      <c r="W96" s="3">
        <v>1.0</v>
      </c>
      <c r="X96" s="3">
        <v>0.0</v>
      </c>
      <c r="Y96" s="3">
        <v>0.0</v>
      </c>
      <c r="Z96" s="3">
        <v>0.0</v>
      </c>
      <c r="AA96" s="3">
        <v>0.0</v>
      </c>
      <c r="AB96" s="3">
        <v>0.0</v>
      </c>
      <c r="AC96" s="3">
        <v>0.0</v>
      </c>
      <c r="AD96" s="3" t="s">
        <v>1358</v>
      </c>
      <c r="AE96" s="5" t="s">
        <v>96</v>
      </c>
      <c r="AF96" s="5">
        <v>0.75</v>
      </c>
      <c r="AG96" s="3" t="s">
        <v>97</v>
      </c>
      <c r="AH96" s="3">
        <v>1.0</v>
      </c>
      <c r="AI96" s="3" t="s">
        <v>779</v>
      </c>
      <c r="AJ96" s="5" t="s">
        <v>99</v>
      </c>
      <c r="AK96" s="5">
        <v>1.0</v>
      </c>
      <c r="AL96" s="3" t="s">
        <v>1359</v>
      </c>
      <c r="AM96" s="5" t="s">
        <v>101</v>
      </c>
      <c r="AN96" s="5">
        <v>0.75</v>
      </c>
      <c r="AO96" s="3" t="s">
        <v>1236</v>
      </c>
      <c r="AP96" s="3">
        <v>2.0</v>
      </c>
      <c r="AQ96" s="3" t="s">
        <v>1360</v>
      </c>
      <c r="AR96" s="5" t="s">
        <v>103</v>
      </c>
      <c r="AS96" s="3">
        <v>1.0</v>
      </c>
      <c r="AT96" s="3" t="s">
        <v>94</v>
      </c>
      <c r="AU96" s="5" t="s">
        <v>104</v>
      </c>
      <c r="AV96" s="5">
        <v>1.0</v>
      </c>
      <c r="AW96" s="3" t="s">
        <v>1361</v>
      </c>
      <c r="AX96" s="5" t="s">
        <v>106</v>
      </c>
      <c r="AY96" s="5">
        <v>0.25</v>
      </c>
      <c r="AZ96" s="3" t="s">
        <v>1362</v>
      </c>
      <c r="BA96" s="5" t="s">
        <v>108</v>
      </c>
      <c r="BB96" s="5">
        <v>0.75</v>
      </c>
      <c r="BC96" s="3" t="s">
        <v>109</v>
      </c>
      <c r="BD96" s="5" t="s">
        <v>110</v>
      </c>
      <c r="BE96" s="3">
        <v>1.0</v>
      </c>
      <c r="BF96" s="3" t="s">
        <v>1363</v>
      </c>
      <c r="BG96" s="5" t="s">
        <v>112</v>
      </c>
      <c r="BH96" s="5">
        <v>0.5</v>
      </c>
      <c r="BI96" s="3" t="s">
        <v>1364</v>
      </c>
      <c r="BJ96" s="5" t="s">
        <v>114</v>
      </c>
      <c r="BK96" s="5">
        <v>1.0</v>
      </c>
      <c r="BL96" s="3" t="s">
        <v>115</v>
      </c>
      <c r="BM96" s="5" t="s">
        <v>116</v>
      </c>
      <c r="BN96" s="5">
        <v>0.0</v>
      </c>
      <c r="BO96" s="3" t="s">
        <v>160</v>
      </c>
      <c r="BP96" s="3"/>
      <c r="BQ96" s="3">
        <v>0.0</v>
      </c>
      <c r="BR96" s="3" t="s">
        <v>161</v>
      </c>
      <c r="BS96" s="5" t="s">
        <v>119</v>
      </c>
      <c r="BT96" s="5">
        <v>1.0</v>
      </c>
      <c r="BU96" s="3" t="s">
        <v>1365</v>
      </c>
      <c r="BV96" s="5" t="s">
        <v>121</v>
      </c>
      <c r="BW96" s="5">
        <v>0.75</v>
      </c>
      <c r="BX96" s="3" t="s">
        <v>1366</v>
      </c>
      <c r="BY96" s="5" t="s">
        <v>123</v>
      </c>
      <c r="BZ96" s="5">
        <v>0.75</v>
      </c>
      <c r="CA96" s="3" t="s">
        <v>97</v>
      </c>
      <c r="CB96" s="3" t="s">
        <v>1367</v>
      </c>
      <c r="CC96" s="3" t="s">
        <v>97</v>
      </c>
      <c r="CD96" s="3" t="s">
        <v>199</v>
      </c>
      <c r="CE96" s="3" t="s">
        <v>1368</v>
      </c>
      <c r="CF96" s="3" t="s">
        <v>97</v>
      </c>
      <c r="CG96" s="3" t="s">
        <v>1369</v>
      </c>
      <c r="CH96" s="3">
        <v>4.0</v>
      </c>
    </row>
    <row r="97" ht="14.25" customHeight="1">
      <c r="A97" s="3">
        <v>44733.3326053241</v>
      </c>
      <c r="B97" s="3" t="s">
        <v>86</v>
      </c>
      <c r="C97" s="3">
        <f t="shared" si="1"/>
        <v>1</v>
      </c>
      <c r="D97" s="3" t="s">
        <v>393</v>
      </c>
      <c r="E97" s="3" t="s">
        <v>394</v>
      </c>
      <c r="F97" s="3">
        <f t="shared" si="2"/>
        <v>0</v>
      </c>
      <c r="G97" s="3" t="s">
        <v>130</v>
      </c>
      <c r="H97" s="3" t="s">
        <v>151</v>
      </c>
      <c r="I97" s="3">
        <v>2.0</v>
      </c>
      <c r="J97" s="3" t="s">
        <v>91</v>
      </c>
      <c r="K97" s="3">
        <f t="shared" si="3"/>
        <v>1</v>
      </c>
      <c r="L97" s="3" t="s">
        <v>92</v>
      </c>
      <c r="M97" s="3">
        <f t="shared" si="4"/>
        <v>1</v>
      </c>
      <c r="N97" s="4"/>
      <c r="O97" s="3" t="s">
        <v>93</v>
      </c>
      <c r="P97" s="3" t="s">
        <v>1370</v>
      </c>
      <c r="Q97" s="3">
        <v>1.0</v>
      </c>
      <c r="R97" s="3">
        <v>0.0</v>
      </c>
      <c r="S97" s="3">
        <v>1.0</v>
      </c>
      <c r="T97" s="3">
        <v>0.0</v>
      </c>
      <c r="U97" s="3">
        <v>0.0</v>
      </c>
      <c r="V97" s="3">
        <v>1.0</v>
      </c>
      <c r="W97" s="3">
        <v>1.0</v>
      </c>
      <c r="X97" s="3">
        <v>0.0</v>
      </c>
      <c r="Y97" s="3">
        <v>0.0</v>
      </c>
      <c r="Z97" s="3">
        <v>1.0</v>
      </c>
      <c r="AA97" s="3">
        <v>0.0</v>
      </c>
      <c r="AB97" s="3">
        <v>0.0</v>
      </c>
      <c r="AC97" s="3">
        <v>0.0</v>
      </c>
      <c r="AD97" s="3" t="s">
        <v>1371</v>
      </c>
      <c r="AE97" s="5" t="s">
        <v>96</v>
      </c>
      <c r="AF97" s="5">
        <v>0.25</v>
      </c>
      <c r="AG97" s="3" t="s">
        <v>97</v>
      </c>
      <c r="AH97" s="3">
        <v>1.0</v>
      </c>
      <c r="AI97" s="3" t="s">
        <v>761</v>
      </c>
      <c r="AJ97" s="5" t="s">
        <v>99</v>
      </c>
      <c r="AK97" s="5">
        <v>0.0</v>
      </c>
      <c r="AL97" s="3" t="s">
        <v>1372</v>
      </c>
      <c r="AM97" s="5" t="s">
        <v>101</v>
      </c>
      <c r="AN97" s="5">
        <v>0.5</v>
      </c>
      <c r="AO97" s="3" t="s">
        <v>921</v>
      </c>
      <c r="AP97" s="3">
        <v>2.0</v>
      </c>
      <c r="AQ97" s="3" t="s">
        <v>1373</v>
      </c>
      <c r="AR97" s="5" t="s">
        <v>103</v>
      </c>
      <c r="AS97" s="3">
        <v>1.0</v>
      </c>
      <c r="AT97" s="3" t="s">
        <v>1374</v>
      </c>
      <c r="AU97" s="5" t="s">
        <v>104</v>
      </c>
      <c r="AV97" s="5">
        <v>0.25</v>
      </c>
      <c r="AW97" s="3" t="s">
        <v>1375</v>
      </c>
      <c r="AX97" s="5" t="s">
        <v>106</v>
      </c>
      <c r="AY97" s="5">
        <v>0.0</v>
      </c>
      <c r="AZ97" s="3" t="s">
        <v>1376</v>
      </c>
      <c r="BA97" s="5" t="s">
        <v>108</v>
      </c>
      <c r="BB97" s="5">
        <v>1.0</v>
      </c>
      <c r="BC97" s="3" t="s">
        <v>109</v>
      </c>
      <c r="BD97" s="5" t="s">
        <v>110</v>
      </c>
      <c r="BE97" s="3">
        <v>1.0</v>
      </c>
      <c r="BF97" s="3" t="s">
        <v>1377</v>
      </c>
      <c r="BG97" s="5" t="s">
        <v>112</v>
      </c>
      <c r="BH97" s="5">
        <v>0.75</v>
      </c>
      <c r="BI97" s="3" t="s">
        <v>1071</v>
      </c>
      <c r="BJ97" s="5" t="s">
        <v>114</v>
      </c>
      <c r="BK97" s="5">
        <v>1.0</v>
      </c>
      <c r="BL97" s="3" t="s">
        <v>115</v>
      </c>
      <c r="BM97" s="5" t="s">
        <v>116</v>
      </c>
      <c r="BN97" s="5">
        <v>1.0</v>
      </c>
      <c r="BO97" s="3" t="s">
        <v>211</v>
      </c>
      <c r="BP97" s="3"/>
      <c r="BQ97" s="3">
        <v>1.0</v>
      </c>
      <c r="BR97" s="3" t="s">
        <v>118</v>
      </c>
      <c r="BS97" s="5" t="s">
        <v>119</v>
      </c>
      <c r="BT97" s="5">
        <v>0.5</v>
      </c>
      <c r="BU97" s="3" t="s">
        <v>1378</v>
      </c>
      <c r="BV97" s="5" t="s">
        <v>121</v>
      </c>
      <c r="BW97" s="5">
        <v>0.5</v>
      </c>
      <c r="BX97" s="3" t="s">
        <v>1324</v>
      </c>
      <c r="BY97" s="5" t="s">
        <v>123</v>
      </c>
      <c r="BZ97" s="5">
        <v>0.5</v>
      </c>
      <c r="CA97" s="3" t="s">
        <v>97</v>
      </c>
      <c r="CB97" s="3" t="s">
        <v>1379</v>
      </c>
      <c r="CC97" s="3" t="s">
        <v>97</v>
      </c>
      <c r="CD97" s="3" t="s">
        <v>125</v>
      </c>
      <c r="CE97" s="3" t="s">
        <v>1380</v>
      </c>
      <c r="CF97" s="3" t="s">
        <v>97</v>
      </c>
      <c r="CG97" s="3" t="s">
        <v>1381</v>
      </c>
      <c r="CH97" s="3">
        <v>5.0</v>
      </c>
    </row>
    <row r="98" ht="14.25" customHeight="1">
      <c r="A98" s="3">
        <v>44733.3434447106</v>
      </c>
      <c r="B98" s="3" t="s">
        <v>86</v>
      </c>
      <c r="C98" s="3">
        <f t="shared" si="1"/>
        <v>1</v>
      </c>
      <c r="D98" s="3" t="s">
        <v>87</v>
      </c>
      <c r="E98" s="3" t="s">
        <v>88</v>
      </c>
      <c r="F98" s="3">
        <f t="shared" si="2"/>
        <v>1</v>
      </c>
      <c r="G98" s="3" t="s">
        <v>130</v>
      </c>
      <c r="H98" s="3" t="s">
        <v>259</v>
      </c>
      <c r="I98" s="3">
        <v>1.0</v>
      </c>
      <c r="J98" s="3" t="s">
        <v>91</v>
      </c>
      <c r="K98" s="3">
        <f t="shared" si="3"/>
        <v>1</v>
      </c>
      <c r="L98" s="3" t="s">
        <v>92</v>
      </c>
      <c r="M98" s="3">
        <f t="shared" si="4"/>
        <v>1</v>
      </c>
      <c r="N98" s="4"/>
      <c r="O98" s="3" t="s">
        <v>93</v>
      </c>
      <c r="P98" s="3" t="s">
        <v>16</v>
      </c>
      <c r="Q98" s="3">
        <v>1.0</v>
      </c>
      <c r="R98" s="3">
        <v>0.0</v>
      </c>
      <c r="S98" s="3">
        <v>0.0</v>
      </c>
      <c r="T98" s="3">
        <v>0.0</v>
      </c>
      <c r="U98" s="3">
        <v>0.0</v>
      </c>
      <c r="V98" s="3">
        <v>0.0</v>
      </c>
      <c r="W98" s="3">
        <v>0.0</v>
      </c>
      <c r="X98" s="3">
        <v>0.0</v>
      </c>
      <c r="Y98" s="3">
        <v>0.0</v>
      </c>
      <c r="Z98" s="3">
        <v>0.0</v>
      </c>
      <c r="AA98" s="3">
        <v>0.0</v>
      </c>
      <c r="AB98" s="3">
        <v>0.0</v>
      </c>
      <c r="AC98" s="3">
        <v>0.0</v>
      </c>
      <c r="AD98" s="3" t="s">
        <v>1382</v>
      </c>
      <c r="AE98" s="5" t="s">
        <v>96</v>
      </c>
      <c r="AF98" s="5">
        <v>0.25</v>
      </c>
      <c r="AG98" s="3" t="s">
        <v>97</v>
      </c>
      <c r="AH98" s="3">
        <v>1.0</v>
      </c>
      <c r="AI98" s="3" t="s">
        <v>1383</v>
      </c>
      <c r="AJ98" s="5" t="s">
        <v>99</v>
      </c>
      <c r="AK98" s="5">
        <v>1.0</v>
      </c>
      <c r="AL98" s="3" t="s">
        <v>1384</v>
      </c>
      <c r="AM98" s="5" t="s">
        <v>101</v>
      </c>
      <c r="AN98" s="5">
        <v>0.75</v>
      </c>
      <c r="AO98" s="3" t="s">
        <v>97</v>
      </c>
      <c r="AP98" s="3">
        <v>1.0</v>
      </c>
      <c r="AQ98" s="3" t="s">
        <v>1385</v>
      </c>
      <c r="AR98" s="5" t="s">
        <v>103</v>
      </c>
      <c r="AS98" s="3">
        <v>1.0</v>
      </c>
      <c r="AT98" s="3" t="s">
        <v>94</v>
      </c>
      <c r="AU98" s="5" t="s">
        <v>104</v>
      </c>
      <c r="AV98" s="5">
        <v>1.0</v>
      </c>
      <c r="AW98" s="3" t="s">
        <v>1386</v>
      </c>
      <c r="AX98" s="5" t="s">
        <v>106</v>
      </c>
      <c r="AY98" s="5">
        <v>0.25</v>
      </c>
      <c r="AZ98" s="3" t="s">
        <v>1387</v>
      </c>
      <c r="BA98" s="5" t="s">
        <v>108</v>
      </c>
      <c r="BB98" s="5">
        <v>0.75</v>
      </c>
      <c r="BC98" s="3" t="s">
        <v>109</v>
      </c>
      <c r="BD98" s="5" t="s">
        <v>110</v>
      </c>
      <c r="BE98" s="3">
        <v>1.0</v>
      </c>
      <c r="BF98" s="3" t="s">
        <v>1388</v>
      </c>
      <c r="BG98" s="5" t="s">
        <v>112</v>
      </c>
      <c r="BH98" s="5">
        <v>0.0</v>
      </c>
      <c r="BI98" s="3" t="s">
        <v>1071</v>
      </c>
      <c r="BJ98" s="5" t="s">
        <v>114</v>
      </c>
      <c r="BK98" s="5">
        <v>1.0</v>
      </c>
      <c r="BL98" s="3" t="s">
        <v>115</v>
      </c>
      <c r="BM98" s="5" t="s">
        <v>116</v>
      </c>
      <c r="BN98" s="5">
        <v>1.0</v>
      </c>
      <c r="BO98" s="3" t="s">
        <v>160</v>
      </c>
      <c r="BP98" s="3"/>
      <c r="BQ98" s="3">
        <v>0.0</v>
      </c>
      <c r="BR98" s="3" t="s">
        <v>181</v>
      </c>
      <c r="BS98" s="5" t="s">
        <v>119</v>
      </c>
      <c r="BT98" s="5">
        <v>1.0</v>
      </c>
      <c r="BU98" s="3" t="s">
        <v>1389</v>
      </c>
      <c r="BV98" s="5" t="s">
        <v>121</v>
      </c>
      <c r="BW98" s="5">
        <v>0.5</v>
      </c>
      <c r="BX98" s="3" t="s">
        <v>1390</v>
      </c>
      <c r="BY98" s="5" t="s">
        <v>123</v>
      </c>
      <c r="BZ98" s="5">
        <v>0.25</v>
      </c>
      <c r="CA98" s="3" t="s">
        <v>97</v>
      </c>
      <c r="CB98" s="3" t="s">
        <v>1391</v>
      </c>
      <c r="CC98" s="3" t="s">
        <v>97</v>
      </c>
      <c r="CD98" s="3" t="s">
        <v>165</v>
      </c>
      <c r="CE98" s="3" t="s">
        <v>1392</v>
      </c>
      <c r="CF98" s="3" t="s">
        <v>167</v>
      </c>
      <c r="CG98" s="3" t="s">
        <v>1393</v>
      </c>
      <c r="CH98" s="3">
        <v>6.0</v>
      </c>
    </row>
    <row r="99" ht="14.25" customHeight="1">
      <c r="A99" s="3">
        <v>44736.1799383333</v>
      </c>
      <c r="B99" s="3" t="s">
        <v>149</v>
      </c>
      <c r="C99" s="3">
        <f t="shared" si="1"/>
        <v>0</v>
      </c>
      <c r="D99" s="3" t="s">
        <v>393</v>
      </c>
      <c r="E99" s="3" t="s">
        <v>394</v>
      </c>
      <c r="F99" s="3">
        <f t="shared" si="2"/>
        <v>0</v>
      </c>
      <c r="G99" s="3" t="s">
        <v>791</v>
      </c>
      <c r="H99" s="3" t="s">
        <v>792</v>
      </c>
      <c r="I99" s="3">
        <v>3.0</v>
      </c>
      <c r="J99" s="3" t="s">
        <v>317</v>
      </c>
      <c r="K99" s="3">
        <f t="shared" si="3"/>
        <v>2</v>
      </c>
      <c r="L99" s="3" t="s">
        <v>92</v>
      </c>
      <c r="M99" s="3">
        <f t="shared" si="4"/>
        <v>1</v>
      </c>
      <c r="N99" s="4"/>
      <c r="O99" s="3" t="s">
        <v>93</v>
      </c>
      <c r="P99" s="3" t="s">
        <v>725</v>
      </c>
      <c r="Q99" s="3">
        <v>1.0</v>
      </c>
      <c r="R99" s="3">
        <v>0.0</v>
      </c>
      <c r="S99" s="3">
        <v>0.0</v>
      </c>
      <c r="T99" s="3">
        <v>0.0</v>
      </c>
      <c r="U99" s="3">
        <v>0.0</v>
      </c>
      <c r="V99" s="3">
        <v>1.0</v>
      </c>
      <c r="W99" s="3">
        <v>0.0</v>
      </c>
      <c r="X99" s="3">
        <v>0.0</v>
      </c>
      <c r="Y99" s="3">
        <v>0.0</v>
      </c>
      <c r="Z99" s="3">
        <v>0.0</v>
      </c>
      <c r="AA99" s="3">
        <v>0.0</v>
      </c>
      <c r="AB99" s="3">
        <v>0.0</v>
      </c>
      <c r="AC99" s="3">
        <v>0.0</v>
      </c>
      <c r="AD99" s="3" t="s">
        <v>1394</v>
      </c>
      <c r="AE99" s="5" t="s">
        <v>96</v>
      </c>
      <c r="AF99" s="5">
        <v>0.25</v>
      </c>
      <c r="AG99" s="3" t="s">
        <v>97</v>
      </c>
      <c r="AH99" s="3">
        <v>1.0</v>
      </c>
      <c r="AI99" s="3" t="s">
        <v>1395</v>
      </c>
      <c r="AJ99" s="5" t="s">
        <v>99</v>
      </c>
      <c r="AK99" s="5">
        <v>1.0</v>
      </c>
      <c r="AL99" s="3" t="s">
        <v>1396</v>
      </c>
      <c r="AM99" s="5" t="s">
        <v>101</v>
      </c>
      <c r="AN99" s="5">
        <v>1.0</v>
      </c>
      <c r="AO99" s="3" t="s">
        <v>97</v>
      </c>
      <c r="AP99" s="3">
        <v>1.0</v>
      </c>
      <c r="AQ99" s="3" t="s">
        <v>1397</v>
      </c>
      <c r="AR99" s="5" t="s">
        <v>103</v>
      </c>
      <c r="AS99" s="3">
        <v>1.0</v>
      </c>
      <c r="AT99" s="3" t="s">
        <v>94</v>
      </c>
      <c r="AU99" s="5" t="s">
        <v>104</v>
      </c>
      <c r="AV99" s="5">
        <v>1.0</v>
      </c>
      <c r="AW99" s="3" t="s">
        <v>1398</v>
      </c>
      <c r="AX99" s="5" t="s">
        <v>106</v>
      </c>
      <c r="AY99" s="5">
        <v>0.25</v>
      </c>
      <c r="AZ99" s="3" t="s">
        <v>1399</v>
      </c>
      <c r="BA99" s="5" t="s">
        <v>108</v>
      </c>
      <c r="BB99" s="5">
        <v>0.5</v>
      </c>
      <c r="BC99" s="3" t="s">
        <v>109</v>
      </c>
      <c r="BD99" s="5" t="s">
        <v>110</v>
      </c>
      <c r="BE99" s="3">
        <v>1.0</v>
      </c>
      <c r="BF99" s="3" t="s">
        <v>1400</v>
      </c>
      <c r="BG99" s="5" t="s">
        <v>112</v>
      </c>
      <c r="BH99" s="5">
        <v>0.75</v>
      </c>
      <c r="BI99" s="3" t="s">
        <v>1401</v>
      </c>
      <c r="BJ99" s="5" t="s">
        <v>114</v>
      </c>
      <c r="BK99" s="5">
        <v>1.0</v>
      </c>
      <c r="BL99" s="3" t="s">
        <v>1402</v>
      </c>
      <c r="BM99" s="5" t="s">
        <v>116</v>
      </c>
      <c r="BN99" s="5">
        <v>1.0</v>
      </c>
      <c r="BO99" s="3" t="s">
        <v>117</v>
      </c>
      <c r="BP99" s="3"/>
      <c r="BQ99" s="3">
        <v>1.0</v>
      </c>
      <c r="BR99" s="3" t="s">
        <v>1403</v>
      </c>
      <c r="BS99" s="5" t="s">
        <v>119</v>
      </c>
      <c r="BT99" s="5">
        <v>0.75</v>
      </c>
      <c r="BU99" s="3" t="s">
        <v>1404</v>
      </c>
      <c r="BV99" s="5" t="s">
        <v>121</v>
      </c>
      <c r="BW99" s="5">
        <v>0.0</v>
      </c>
      <c r="BX99" s="3" t="s">
        <v>1405</v>
      </c>
      <c r="BY99" s="5" t="s">
        <v>123</v>
      </c>
      <c r="BZ99" s="5">
        <v>0.5</v>
      </c>
      <c r="CA99" s="3" t="s">
        <v>97</v>
      </c>
      <c r="CB99" s="3" t="s">
        <v>1406</v>
      </c>
      <c r="CC99" s="3" t="s">
        <v>97</v>
      </c>
      <c r="CD99" s="3" t="s">
        <v>165</v>
      </c>
      <c r="CE99" s="3" t="s">
        <v>823</v>
      </c>
      <c r="CF99" s="3" t="s">
        <v>167</v>
      </c>
      <c r="CG99" s="3" t="s">
        <v>1407</v>
      </c>
      <c r="CH99" s="3">
        <v>5.0</v>
      </c>
    </row>
    <row r="100" ht="14.25" customHeight="1">
      <c r="A100" s="3">
        <v>44736.1887301505</v>
      </c>
      <c r="B100" s="3" t="s">
        <v>86</v>
      </c>
      <c r="C100" s="3">
        <f t="shared" si="1"/>
        <v>1</v>
      </c>
      <c r="D100" s="3" t="s">
        <v>169</v>
      </c>
      <c r="E100" s="3" t="s">
        <v>170</v>
      </c>
      <c r="F100" s="3">
        <f t="shared" si="2"/>
        <v>2</v>
      </c>
      <c r="G100" s="3" t="s">
        <v>130</v>
      </c>
      <c r="H100" s="3" t="s">
        <v>131</v>
      </c>
      <c r="I100" s="3">
        <v>1.0</v>
      </c>
      <c r="J100" s="3" t="s">
        <v>132</v>
      </c>
      <c r="K100" s="3">
        <f t="shared" si="3"/>
        <v>0</v>
      </c>
      <c r="L100" s="3" t="s">
        <v>133</v>
      </c>
      <c r="M100" s="3">
        <f t="shared" si="4"/>
        <v>0</v>
      </c>
      <c r="N100" s="4"/>
      <c r="O100" s="3" t="s">
        <v>93</v>
      </c>
      <c r="P100" s="3" t="s">
        <v>1408</v>
      </c>
      <c r="Q100" s="3">
        <v>1.0</v>
      </c>
      <c r="R100" s="3">
        <v>1.0</v>
      </c>
      <c r="S100" s="3">
        <v>0.0</v>
      </c>
      <c r="T100" s="3">
        <v>0.0</v>
      </c>
      <c r="U100" s="3">
        <v>0.0</v>
      </c>
      <c r="V100" s="3">
        <v>0.0</v>
      </c>
      <c r="W100" s="3">
        <v>0.0</v>
      </c>
      <c r="X100" s="3">
        <v>0.0</v>
      </c>
      <c r="Y100" s="3">
        <v>0.0</v>
      </c>
      <c r="Z100" s="3">
        <v>0.0</v>
      </c>
      <c r="AA100" s="3">
        <v>0.0</v>
      </c>
      <c r="AB100" s="3">
        <v>0.0</v>
      </c>
      <c r="AC100" s="3">
        <v>0.0</v>
      </c>
      <c r="AD100" s="3" t="s">
        <v>1409</v>
      </c>
      <c r="AE100" s="5" t="s">
        <v>96</v>
      </c>
      <c r="AF100" s="5">
        <v>0.25</v>
      </c>
      <c r="AG100" s="3" t="s">
        <v>167</v>
      </c>
      <c r="AH100" s="3">
        <v>0.0</v>
      </c>
      <c r="AI100" s="3" t="s">
        <v>761</v>
      </c>
      <c r="AJ100" s="5" t="s">
        <v>99</v>
      </c>
      <c r="AK100" s="5">
        <v>0.0</v>
      </c>
      <c r="AL100" s="3" t="s">
        <v>1410</v>
      </c>
      <c r="AM100" s="5" t="s">
        <v>101</v>
      </c>
      <c r="AN100" s="5">
        <v>0.0</v>
      </c>
      <c r="AO100" s="3" t="s">
        <v>167</v>
      </c>
      <c r="AP100" s="3">
        <v>0.0</v>
      </c>
      <c r="AQ100" s="3" t="s">
        <v>1411</v>
      </c>
      <c r="AR100" s="5" t="s">
        <v>103</v>
      </c>
      <c r="AS100" s="3">
        <v>0.0</v>
      </c>
      <c r="AT100" s="3" t="s">
        <v>94</v>
      </c>
      <c r="AU100" s="5" t="s">
        <v>104</v>
      </c>
      <c r="AV100" s="5">
        <v>1.0</v>
      </c>
      <c r="AW100" s="3" t="s">
        <v>1412</v>
      </c>
      <c r="AX100" s="5" t="s">
        <v>106</v>
      </c>
      <c r="AY100" s="5">
        <v>0.25</v>
      </c>
      <c r="AZ100" s="3" t="s">
        <v>1413</v>
      </c>
      <c r="BA100" s="5" t="s">
        <v>108</v>
      </c>
      <c r="BB100" s="5">
        <v>0.75</v>
      </c>
      <c r="BC100" s="3" t="s">
        <v>109</v>
      </c>
      <c r="BD100" s="5" t="s">
        <v>110</v>
      </c>
      <c r="BE100" s="3">
        <v>1.0</v>
      </c>
      <c r="BF100" s="3" t="s">
        <v>1414</v>
      </c>
      <c r="BG100" s="5" t="s">
        <v>112</v>
      </c>
      <c r="BH100" s="5">
        <v>0.0</v>
      </c>
      <c r="BI100" s="3" t="s">
        <v>1415</v>
      </c>
      <c r="BJ100" s="5" t="s">
        <v>114</v>
      </c>
      <c r="BK100" s="5">
        <v>0.5</v>
      </c>
      <c r="BL100" s="3" t="s">
        <v>115</v>
      </c>
      <c r="BM100" s="5" t="s">
        <v>116</v>
      </c>
      <c r="BN100" s="5">
        <v>1.0</v>
      </c>
      <c r="BO100" s="3" t="s">
        <v>117</v>
      </c>
      <c r="BP100" s="3"/>
      <c r="BQ100" s="3">
        <v>1.0</v>
      </c>
      <c r="BR100" s="3" t="s">
        <v>181</v>
      </c>
      <c r="BS100" s="5" t="s">
        <v>119</v>
      </c>
      <c r="BT100" s="5">
        <v>1.0</v>
      </c>
      <c r="BU100" s="3" t="s">
        <v>761</v>
      </c>
      <c r="BV100" s="5" t="s">
        <v>121</v>
      </c>
      <c r="BW100" s="5">
        <v>0.75</v>
      </c>
      <c r="BX100" s="3" t="s">
        <v>1416</v>
      </c>
      <c r="BY100" s="5" t="s">
        <v>123</v>
      </c>
      <c r="BZ100" s="5">
        <v>0.5</v>
      </c>
      <c r="CA100" s="3" t="s">
        <v>1417</v>
      </c>
      <c r="CB100" s="3" t="s">
        <v>761</v>
      </c>
      <c r="CC100" s="3" t="s">
        <v>97</v>
      </c>
      <c r="CD100" s="3" t="s">
        <v>125</v>
      </c>
      <c r="CE100" s="3" t="s">
        <v>1418</v>
      </c>
      <c r="CF100" s="3" t="s">
        <v>97</v>
      </c>
      <c r="CG100" s="3" t="s">
        <v>1419</v>
      </c>
      <c r="CH100" s="3">
        <v>3.0</v>
      </c>
    </row>
    <row r="101" ht="14.25" customHeight="1">
      <c r="A101" s="3">
        <v>44736.2008905093</v>
      </c>
      <c r="B101" s="3" t="s">
        <v>86</v>
      </c>
      <c r="C101" s="3">
        <f t="shared" si="1"/>
        <v>1</v>
      </c>
      <c r="D101" s="3" t="s">
        <v>87</v>
      </c>
      <c r="E101" s="3" t="s">
        <v>88</v>
      </c>
      <c r="F101" s="3">
        <f t="shared" si="2"/>
        <v>1</v>
      </c>
      <c r="G101" s="3" t="s">
        <v>130</v>
      </c>
      <c r="H101" s="3" t="s">
        <v>151</v>
      </c>
      <c r="I101" s="3">
        <v>2.0</v>
      </c>
      <c r="J101" s="3" t="s">
        <v>91</v>
      </c>
      <c r="K101" s="3">
        <f t="shared" si="3"/>
        <v>1</v>
      </c>
      <c r="L101" s="3" t="s">
        <v>133</v>
      </c>
      <c r="M101" s="3">
        <f t="shared" si="4"/>
        <v>0</v>
      </c>
      <c r="N101" s="4"/>
      <c r="O101" s="3" t="s">
        <v>93</v>
      </c>
      <c r="P101" s="3" t="s">
        <v>16</v>
      </c>
      <c r="Q101" s="3">
        <v>1.0</v>
      </c>
      <c r="R101" s="3">
        <v>0.0</v>
      </c>
      <c r="S101" s="3">
        <v>0.0</v>
      </c>
      <c r="T101" s="3">
        <v>0.0</v>
      </c>
      <c r="U101" s="3">
        <v>0.0</v>
      </c>
      <c r="V101" s="3">
        <v>0.0</v>
      </c>
      <c r="W101" s="3">
        <v>0.0</v>
      </c>
      <c r="X101" s="3">
        <v>0.0</v>
      </c>
      <c r="Y101" s="3">
        <v>0.0</v>
      </c>
      <c r="Z101" s="3">
        <v>0.0</v>
      </c>
      <c r="AA101" s="3">
        <v>0.0</v>
      </c>
      <c r="AB101" s="3">
        <v>0.0</v>
      </c>
      <c r="AC101" s="3">
        <v>0.0</v>
      </c>
      <c r="AD101" s="3" t="s">
        <v>1420</v>
      </c>
      <c r="AE101" s="5" t="s">
        <v>96</v>
      </c>
      <c r="AF101" s="5">
        <v>0.25</v>
      </c>
      <c r="AG101" s="3" t="s">
        <v>97</v>
      </c>
      <c r="AH101" s="3">
        <v>1.0</v>
      </c>
      <c r="AI101" s="3" t="s">
        <v>1282</v>
      </c>
      <c r="AJ101" s="5" t="s">
        <v>99</v>
      </c>
      <c r="AK101" s="5">
        <v>1.0</v>
      </c>
      <c r="AL101" s="3" t="s">
        <v>1421</v>
      </c>
      <c r="AM101" s="5" t="s">
        <v>101</v>
      </c>
      <c r="AN101" s="5">
        <v>0.5</v>
      </c>
      <c r="AO101" s="3" t="s">
        <v>97</v>
      </c>
      <c r="AP101" s="3">
        <v>1.0</v>
      </c>
      <c r="AQ101" s="3" t="s">
        <v>1422</v>
      </c>
      <c r="AR101" s="5" t="s">
        <v>103</v>
      </c>
      <c r="AS101" s="3">
        <v>0.0</v>
      </c>
      <c r="AT101" s="3" t="s">
        <v>94</v>
      </c>
      <c r="AU101" s="5" t="s">
        <v>104</v>
      </c>
      <c r="AV101" s="5">
        <v>1.0</v>
      </c>
      <c r="AW101" s="3" t="s">
        <v>1423</v>
      </c>
      <c r="AX101" s="5" t="s">
        <v>106</v>
      </c>
      <c r="AY101" s="5">
        <v>0.25</v>
      </c>
      <c r="AZ101" s="3" t="s">
        <v>1424</v>
      </c>
      <c r="BA101" s="5" t="s">
        <v>108</v>
      </c>
      <c r="BB101" s="5">
        <v>1.0</v>
      </c>
      <c r="BC101" s="3" t="s">
        <v>109</v>
      </c>
      <c r="BD101" s="5" t="s">
        <v>110</v>
      </c>
      <c r="BE101" s="3">
        <v>1.0</v>
      </c>
      <c r="BF101" s="3" t="s">
        <v>1425</v>
      </c>
      <c r="BG101" s="5" t="s">
        <v>112</v>
      </c>
      <c r="BH101" s="5">
        <v>0.0</v>
      </c>
      <c r="BI101" s="3" t="s">
        <v>1426</v>
      </c>
      <c r="BJ101" s="5" t="s">
        <v>114</v>
      </c>
      <c r="BK101" s="5">
        <v>1.0</v>
      </c>
      <c r="BL101" s="3" t="s">
        <v>589</v>
      </c>
      <c r="BM101" s="5" t="s">
        <v>116</v>
      </c>
      <c r="BN101" s="5">
        <v>0.25</v>
      </c>
      <c r="BO101" s="3" t="s">
        <v>117</v>
      </c>
      <c r="BP101" s="3"/>
      <c r="BQ101" s="3">
        <v>1.0</v>
      </c>
      <c r="BR101" s="3" t="s">
        <v>181</v>
      </c>
      <c r="BS101" s="5" t="s">
        <v>119</v>
      </c>
      <c r="BT101" s="5">
        <v>1.0</v>
      </c>
      <c r="BU101" s="3" t="s">
        <v>1427</v>
      </c>
      <c r="BV101" s="5" t="s">
        <v>121</v>
      </c>
      <c r="BW101" s="5">
        <v>0.5</v>
      </c>
      <c r="BX101" s="3" t="s">
        <v>1428</v>
      </c>
      <c r="BY101" s="5" t="s">
        <v>123</v>
      </c>
      <c r="BZ101" s="5">
        <v>0.75</v>
      </c>
      <c r="CA101" s="3" t="s">
        <v>97</v>
      </c>
      <c r="CB101" s="3" t="s">
        <v>1429</v>
      </c>
      <c r="CC101" s="3" t="s">
        <v>97</v>
      </c>
      <c r="CD101" s="3" t="s">
        <v>125</v>
      </c>
      <c r="CE101" s="3" t="s">
        <v>1430</v>
      </c>
      <c r="CF101" s="3" t="s">
        <v>97</v>
      </c>
      <c r="CG101" s="3" t="s">
        <v>1431</v>
      </c>
      <c r="CH101" s="3">
        <v>5.0</v>
      </c>
    </row>
    <row r="102" ht="14.25" customHeight="1">
      <c r="A102" s="3">
        <v>44736.7361934607</v>
      </c>
      <c r="B102" s="3" t="s">
        <v>86</v>
      </c>
      <c r="C102" s="3">
        <f t="shared" si="1"/>
        <v>1</v>
      </c>
      <c r="D102" s="3" t="s">
        <v>393</v>
      </c>
      <c r="E102" s="3" t="s">
        <v>394</v>
      </c>
      <c r="F102" s="3">
        <f t="shared" si="2"/>
        <v>0</v>
      </c>
      <c r="G102" s="3" t="s">
        <v>724</v>
      </c>
      <c r="H102" s="3" t="s">
        <v>151</v>
      </c>
      <c r="I102" s="3">
        <v>2.0</v>
      </c>
      <c r="J102" s="3" t="s">
        <v>91</v>
      </c>
      <c r="K102" s="3">
        <f t="shared" si="3"/>
        <v>1</v>
      </c>
      <c r="L102" s="3" t="s">
        <v>133</v>
      </c>
      <c r="M102" s="3">
        <f t="shared" si="4"/>
        <v>0</v>
      </c>
      <c r="N102" s="4"/>
      <c r="O102" s="3" t="s">
        <v>93</v>
      </c>
      <c r="P102" s="3" t="s">
        <v>1432</v>
      </c>
      <c r="Q102" s="3">
        <v>1.0</v>
      </c>
      <c r="R102" s="3">
        <v>0.0</v>
      </c>
      <c r="S102" s="3">
        <v>1.0</v>
      </c>
      <c r="T102" s="3">
        <v>0.0</v>
      </c>
      <c r="U102" s="3">
        <v>0.0</v>
      </c>
      <c r="V102" s="3">
        <v>1.0</v>
      </c>
      <c r="W102" s="3">
        <v>0.0</v>
      </c>
      <c r="X102" s="3">
        <v>0.0</v>
      </c>
      <c r="Y102" s="3">
        <v>0.0</v>
      </c>
      <c r="Z102" s="3">
        <v>0.0</v>
      </c>
      <c r="AA102" s="3">
        <v>0.0</v>
      </c>
      <c r="AB102" s="3">
        <v>0.0</v>
      </c>
      <c r="AC102" s="3">
        <v>0.0</v>
      </c>
      <c r="AD102" s="3" t="s">
        <v>1433</v>
      </c>
      <c r="AE102" s="5" t="s">
        <v>96</v>
      </c>
      <c r="AF102" s="5">
        <v>0.25</v>
      </c>
      <c r="AG102" s="3" t="s">
        <v>97</v>
      </c>
      <c r="AH102" s="3">
        <v>1.0</v>
      </c>
      <c r="AI102" s="3" t="s">
        <v>1434</v>
      </c>
      <c r="AJ102" s="5" t="s">
        <v>99</v>
      </c>
      <c r="AK102" s="5">
        <v>1.0</v>
      </c>
      <c r="AL102" s="3" t="s">
        <v>1435</v>
      </c>
      <c r="AM102" s="5" t="s">
        <v>101</v>
      </c>
      <c r="AN102" s="5">
        <v>1.0</v>
      </c>
      <c r="AO102" s="3" t="s">
        <v>97</v>
      </c>
      <c r="AP102" s="3">
        <v>1.0</v>
      </c>
      <c r="AQ102" s="3" t="s">
        <v>1436</v>
      </c>
      <c r="AR102" s="5" t="s">
        <v>103</v>
      </c>
      <c r="AS102" s="3">
        <v>1.0</v>
      </c>
      <c r="AT102" s="3" t="s">
        <v>94</v>
      </c>
      <c r="AU102" s="5" t="s">
        <v>104</v>
      </c>
      <c r="AV102" s="5">
        <v>1.0</v>
      </c>
      <c r="AW102" s="3" t="s">
        <v>1437</v>
      </c>
      <c r="AX102" s="5" t="s">
        <v>106</v>
      </c>
      <c r="AY102" s="5">
        <v>0.25</v>
      </c>
      <c r="AZ102" s="3" t="s">
        <v>1438</v>
      </c>
      <c r="BA102" s="5" t="s">
        <v>108</v>
      </c>
      <c r="BB102" s="5">
        <v>0.5</v>
      </c>
      <c r="BC102" s="3" t="s">
        <v>109</v>
      </c>
      <c r="BD102" s="5" t="s">
        <v>110</v>
      </c>
      <c r="BE102" s="3">
        <v>1.0</v>
      </c>
      <c r="BF102" s="3" t="s">
        <v>1439</v>
      </c>
      <c r="BG102" s="5" t="s">
        <v>112</v>
      </c>
      <c r="BH102" s="5">
        <v>0.75</v>
      </c>
      <c r="BI102" s="3" t="s">
        <v>1440</v>
      </c>
      <c r="BJ102" s="5" t="s">
        <v>114</v>
      </c>
      <c r="BK102" s="5">
        <v>1.0</v>
      </c>
      <c r="BL102" s="3" t="s">
        <v>115</v>
      </c>
      <c r="BM102" s="5" t="s">
        <v>116</v>
      </c>
      <c r="BN102" s="5">
        <v>1.0</v>
      </c>
      <c r="BO102" s="3" t="s">
        <v>117</v>
      </c>
      <c r="BP102" s="3"/>
      <c r="BQ102" s="3">
        <v>1.0</v>
      </c>
      <c r="BR102" s="3" t="s">
        <v>227</v>
      </c>
      <c r="BS102" s="5" t="s">
        <v>119</v>
      </c>
      <c r="BT102" s="5">
        <v>0.5</v>
      </c>
      <c r="BU102" s="3" t="s">
        <v>1441</v>
      </c>
      <c r="BV102" s="5" t="s">
        <v>121</v>
      </c>
      <c r="BW102" s="5">
        <v>0.75</v>
      </c>
      <c r="BX102" s="3" t="s">
        <v>865</v>
      </c>
      <c r="BY102" s="5" t="s">
        <v>123</v>
      </c>
      <c r="BZ102" s="5">
        <v>0.5</v>
      </c>
      <c r="CA102" s="3" t="s">
        <v>97</v>
      </c>
      <c r="CB102" s="3" t="s">
        <v>1442</v>
      </c>
      <c r="CC102" s="3" t="s">
        <v>97</v>
      </c>
      <c r="CD102" s="3" t="s">
        <v>165</v>
      </c>
      <c r="CE102" s="3" t="s">
        <v>823</v>
      </c>
      <c r="CF102" s="3" t="s">
        <v>97</v>
      </c>
      <c r="CG102" s="3" t="s">
        <v>1443</v>
      </c>
      <c r="CH102" s="3">
        <v>6.0</v>
      </c>
    </row>
    <row r="103" ht="14.25" customHeight="1">
      <c r="A103" s="3">
        <v>44736.750509757</v>
      </c>
      <c r="B103" s="3" t="s">
        <v>86</v>
      </c>
      <c r="C103" s="3">
        <f t="shared" si="1"/>
        <v>1</v>
      </c>
      <c r="D103" s="3" t="s">
        <v>169</v>
      </c>
      <c r="E103" s="3" t="s">
        <v>170</v>
      </c>
      <c r="F103" s="3">
        <f t="shared" si="2"/>
        <v>2</v>
      </c>
      <c r="G103" s="3" t="s">
        <v>724</v>
      </c>
      <c r="H103" s="3" t="s">
        <v>202</v>
      </c>
      <c r="I103" s="3">
        <v>1.0</v>
      </c>
      <c r="J103" s="3" t="s">
        <v>91</v>
      </c>
      <c r="K103" s="3">
        <f t="shared" si="3"/>
        <v>1</v>
      </c>
      <c r="L103" s="3" t="s">
        <v>133</v>
      </c>
      <c r="M103" s="3">
        <f t="shared" si="4"/>
        <v>0</v>
      </c>
      <c r="N103" s="4"/>
      <c r="O103" s="3" t="s">
        <v>93</v>
      </c>
      <c r="P103" s="3" t="s">
        <v>380</v>
      </c>
      <c r="Q103" s="3">
        <v>1.0</v>
      </c>
      <c r="R103" s="3">
        <v>0.0</v>
      </c>
      <c r="S103" s="3">
        <v>0.0</v>
      </c>
      <c r="T103" s="3">
        <v>0.0</v>
      </c>
      <c r="U103" s="3">
        <v>0.0</v>
      </c>
      <c r="V103" s="3">
        <v>0.0</v>
      </c>
      <c r="W103" s="3">
        <v>0.0</v>
      </c>
      <c r="X103" s="3">
        <v>0.0</v>
      </c>
      <c r="Y103" s="3">
        <v>0.0</v>
      </c>
      <c r="Z103" s="3">
        <v>1.0</v>
      </c>
      <c r="AA103" s="3">
        <v>0.0</v>
      </c>
      <c r="AB103" s="3">
        <v>0.0</v>
      </c>
      <c r="AC103" s="3">
        <v>0.0</v>
      </c>
      <c r="AD103" s="3" t="s">
        <v>1444</v>
      </c>
      <c r="AE103" s="5" t="s">
        <v>96</v>
      </c>
      <c r="AF103" s="5">
        <v>0.5</v>
      </c>
      <c r="AG103" s="3" t="s">
        <v>97</v>
      </c>
      <c r="AH103" s="3">
        <v>1.0</v>
      </c>
      <c r="AI103" s="3" t="s">
        <v>1445</v>
      </c>
      <c r="AJ103" s="5" t="s">
        <v>99</v>
      </c>
      <c r="AK103" s="5">
        <v>1.0</v>
      </c>
      <c r="AL103" s="3" t="s">
        <v>1446</v>
      </c>
      <c r="AM103" s="5" t="s">
        <v>101</v>
      </c>
      <c r="AN103" s="5">
        <v>0.75</v>
      </c>
      <c r="AO103" s="3" t="s">
        <v>97</v>
      </c>
      <c r="AP103" s="3">
        <v>1.0</v>
      </c>
      <c r="AQ103" s="3" t="s">
        <v>1447</v>
      </c>
      <c r="AR103" s="5" t="s">
        <v>103</v>
      </c>
      <c r="AS103" s="3">
        <v>1.0</v>
      </c>
      <c r="AT103" s="3" t="s">
        <v>94</v>
      </c>
      <c r="AU103" s="5" t="s">
        <v>104</v>
      </c>
      <c r="AV103" s="5">
        <v>1.0</v>
      </c>
      <c r="AW103" s="3" t="s">
        <v>1448</v>
      </c>
      <c r="AX103" s="5" t="s">
        <v>106</v>
      </c>
      <c r="AY103" s="5">
        <v>0.25</v>
      </c>
      <c r="AZ103" s="3" t="s">
        <v>1449</v>
      </c>
      <c r="BA103" s="5" t="s">
        <v>108</v>
      </c>
      <c r="BB103" s="5">
        <v>0.5</v>
      </c>
      <c r="BC103" s="3" t="s">
        <v>109</v>
      </c>
      <c r="BD103" s="5" t="s">
        <v>110</v>
      </c>
      <c r="BE103" s="3">
        <v>1.0</v>
      </c>
      <c r="BF103" s="3" t="s">
        <v>1450</v>
      </c>
      <c r="BG103" s="5" t="s">
        <v>112</v>
      </c>
      <c r="BH103" s="5">
        <v>0.75</v>
      </c>
      <c r="BI103" s="3" t="s">
        <v>1451</v>
      </c>
      <c r="BJ103" s="5" t="s">
        <v>114</v>
      </c>
      <c r="BK103" s="5">
        <v>1.0</v>
      </c>
      <c r="BL103" s="3" t="s">
        <v>115</v>
      </c>
      <c r="BM103" s="5" t="s">
        <v>116</v>
      </c>
      <c r="BN103" s="5">
        <v>0.75</v>
      </c>
      <c r="BO103" s="3" t="s">
        <v>211</v>
      </c>
      <c r="BP103" s="3"/>
      <c r="BQ103" s="3">
        <v>1.0</v>
      </c>
      <c r="BR103" s="3" t="s">
        <v>181</v>
      </c>
      <c r="BS103" s="5" t="s">
        <v>119</v>
      </c>
      <c r="BT103" s="5">
        <v>1.0</v>
      </c>
      <c r="BU103" s="3" t="s">
        <v>1452</v>
      </c>
      <c r="BV103" s="5" t="s">
        <v>121</v>
      </c>
      <c r="BW103" s="5">
        <v>0.0</v>
      </c>
      <c r="BX103" s="3" t="s">
        <v>1453</v>
      </c>
      <c r="BY103" s="5" t="s">
        <v>123</v>
      </c>
      <c r="BZ103" s="5">
        <v>0.5</v>
      </c>
      <c r="CA103" s="3" t="s">
        <v>97</v>
      </c>
      <c r="CB103" s="3" t="s">
        <v>1454</v>
      </c>
      <c r="CC103" s="3" t="s">
        <v>97</v>
      </c>
      <c r="CD103" s="3" t="s">
        <v>125</v>
      </c>
      <c r="CE103" s="3" t="s">
        <v>1455</v>
      </c>
      <c r="CF103" s="3" t="s">
        <v>97</v>
      </c>
      <c r="CG103" s="3" t="s">
        <v>1456</v>
      </c>
      <c r="CH103" s="3">
        <v>6.0</v>
      </c>
    </row>
    <row r="104" ht="14.25" customHeight="1">
      <c r="A104" s="3">
        <v>44736.7639059144</v>
      </c>
      <c r="B104" s="3" t="s">
        <v>149</v>
      </c>
      <c r="C104" s="3">
        <f t="shared" si="1"/>
        <v>0</v>
      </c>
      <c r="D104" s="3" t="s">
        <v>393</v>
      </c>
      <c r="E104" s="3" t="s">
        <v>394</v>
      </c>
      <c r="F104" s="3">
        <f t="shared" si="2"/>
        <v>0</v>
      </c>
      <c r="G104" s="3" t="s">
        <v>791</v>
      </c>
      <c r="H104" s="3" t="s">
        <v>792</v>
      </c>
      <c r="I104" s="3">
        <v>3.0</v>
      </c>
      <c r="J104" s="3" t="s">
        <v>91</v>
      </c>
      <c r="K104" s="3">
        <f t="shared" si="3"/>
        <v>1</v>
      </c>
      <c r="L104" s="3" t="s">
        <v>133</v>
      </c>
      <c r="M104" s="3">
        <f t="shared" si="4"/>
        <v>0</v>
      </c>
      <c r="N104" s="4"/>
      <c r="O104" s="3" t="s">
        <v>93</v>
      </c>
      <c r="P104" s="3" t="s">
        <v>1432</v>
      </c>
      <c r="Q104" s="3">
        <v>1.0</v>
      </c>
      <c r="R104" s="3">
        <v>0.0</v>
      </c>
      <c r="S104" s="3">
        <v>1.0</v>
      </c>
      <c r="T104" s="3">
        <v>0.0</v>
      </c>
      <c r="U104" s="3">
        <v>0.0</v>
      </c>
      <c r="V104" s="3">
        <v>1.0</v>
      </c>
      <c r="W104" s="3">
        <v>0.0</v>
      </c>
      <c r="X104" s="3">
        <v>0.0</v>
      </c>
      <c r="Y104" s="3">
        <v>0.0</v>
      </c>
      <c r="Z104" s="3">
        <v>0.0</v>
      </c>
      <c r="AA104" s="3">
        <v>0.0</v>
      </c>
      <c r="AB104" s="3">
        <v>0.0</v>
      </c>
      <c r="AC104" s="3">
        <v>0.0</v>
      </c>
      <c r="AD104" s="3" t="s">
        <v>1457</v>
      </c>
      <c r="AE104" s="5" t="s">
        <v>96</v>
      </c>
      <c r="AF104" s="5">
        <v>0.75</v>
      </c>
      <c r="AG104" s="3" t="s">
        <v>97</v>
      </c>
      <c r="AH104" s="3">
        <v>1.0</v>
      </c>
      <c r="AI104" s="3" t="s">
        <v>820</v>
      </c>
      <c r="AJ104" s="5" t="s">
        <v>99</v>
      </c>
      <c r="AK104" s="5">
        <v>1.0</v>
      </c>
      <c r="AL104" s="3" t="s">
        <v>1458</v>
      </c>
      <c r="AM104" s="5" t="s">
        <v>101</v>
      </c>
      <c r="AN104" s="5">
        <v>0.75</v>
      </c>
      <c r="AO104" s="3" t="s">
        <v>97</v>
      </c>
      <c r="AP104" s="3">
        <v>1.0</v>
      </c>
      <c r="AQ104" s="3" t="s">
        <v>1459</v>
      </c>
      <c r="AR104" s="5" t="s">
        <v>103</v>
      </c>
      <c r="AS104" s="3">
        <v>1.0</v>
      </c>
      <c r="AT104" s="3" t="s">
        <v>94</v>
      </c>
      <c r="AU104" s="5" t="s">
        <v>104</v>
      </c>
      <c r="AV104" s="5">
        <v>1.0</v>
      </c>
      <c r="AW104" s="3" t="s">
        <v>1460</v>
      </c>
      <c r="AX104" s="5" t="s">
        <v>106</v>
      </c>
      <c r="AY104" s="5">
        <v>0.25</v>
      </c>
      <c r="AZ104" s="3" t="s">
        <v>1461</v>
      </c>
      <c r="BA104" s="5" t="s">
        <v>108</v>
      </c>
      <c r="BB104" s="5">
        <v>1.0</v>
      </c>
      <c r="BC104" s="3" t="s">
        <v>109</v>
      </c>
      <c r="BD104" s="5" t="s">
        <v>110</v>
      </c>
      <c r="BE104" s="3">
        <v>1.0</v>
      </c>
      <c r="BF104" s="3" t="s">
        <v>1462</v>
      </c>
      <c r="BG104" s="5" t="s">
        <v>112</v>
      </c>
      <c r="BH104" s="5">
        <v>0.5</v>
      </c>
      <c r="BI104" s="3" t="s">
        <v>1463</v>
      </c>
      <c r="BJ104" s="5" t="s">
        <v>114</v>
      </c>
      <c r="BK104" s="5">
        <v>1.0</v>
      </c>
      <c r="BL104" s="3" t="s">
        <v>115</v>
      </c>
      <c r="BM104" s="5" t="s">
        <v>116</v>
      </c>
      <c r="BN104" s="5">
        <v>1.0</v>
      </c>
      <c r="BO104" s="3" t="s">
        <v>117</v>
      </c>
      <c r="BP104" s="3"/>
      <c r="BQ104" s="3">
        <v>1.0</v>
      </c>
      <c r="BR104" s="3" t="s">
        <v>181</v>
      </c>
      <c r="BS104" s="5" t="s">
        <v>119</v>
      </c>
      <c r="BT104" s="5">
        <v>1.0</v>
      </c>
      <c r="BU104" s="3" t="s">
        <v>1464</v>
      </c>
      <c r="BV104" s="5" t="s">
        <v>121</v>
      </c>
      <c r="BW104" s="5">
        <v>0.75</v>
      </c>
      <c r="BX104" s="3" t="s">
        <v>1465</v>
      </c>
      <c r="BY104" s="5" t="s">
        <v>123</v>
      </c>
      <c r="BZ104" s="5">
        <v>0.75</v>
      </c>
      <c r="CA104" s="3" t="s">
        <v>97</v>
      </c>
      <c r="CB104" s="3" t="s">
        <v>1466</v>
      </c>
      <c r="CC104" s="3" t="s">
        <v>97</v>
      </c>
      <c r="CD104" s="3" t="s">
        <v>165</v>
      </c>
      <c r="CE104" s="3" t="s">
        <v>823</v>
      </c>
      <c r="CF104" s="3" t="s">
        <v>97</v>
      </c>
      <c r="CG104" s="3" t="s">
        <v>1467</v>
      </c>
      <c r="CH104" s="3">
        <v>6.0</v>
      </c>
    </row>
    <row r="105" ht="14.25" customHeight="1">
      <c r="A105" s="3">
        <v>44737.8351650695</v>
      </c>
      <c r="B105" s="3" t="s">
        <v>86</v>
      </c>
      <c r="C105" s="3">
        <f t="shared" si="1"/>
        <v>1</v>
      </c>
      <c r="D105" s="3" t="s">
        <v>169</v>
      </c>
      <c r="E105" s="3" t="s">
        <v>170</v>
      </c>
      <c r="F105" s="3">
        <f t="shared" si="2"/>
        <v>2</v>
      </c>
      <c r="G105" s="3" t="s">
        <v>724</v>
      </c>
      <c r="H105" s="3" t="s">
        <v>202</v>
      </c>
      <c r="I105" s="3">
        <v>1.0</v>
      </c>
      <c r="J105" s="3" t="s">
        <v>91</v>
      </c>
      <c r="K105" s="3">
        <f t="shared" si="3"/>
        <v>1</v>
      </c>
      <c r="L105" s="3" t="s">
        <v>133</v>
      </c>
      <c r="M105" s="3">
        <f t="shared" si="4"/>
        <v>0</v>
      </c>
      <c r="N105" s="4"/>
      <c r="O105" s="3" t="s">
        <v>93</v>
      </c>
      <c r="P105" s="3" t="s">
        <v>1234</v>
      </c>
      <c r="Q105" s="3">
        <v>1.0</v>
      </c>
      <c r="R105" s="3">
        <v>1.0</v>
      </c>
      <c r="S105" s="3">
        <v>0.0</v>
      </c>
      <c r="T105" s="3">
        <v>0.0</v>
      </c>
      <c r="U105" s="3">
        <v>0.0</v>
      </c>
      <c r="V105" s="3">
        <v>0.0</v>
      </c>
      <c r="W105" s="3">
        <v>0.0</v>
      </c>
      <c r="X105" s="3">
        <v>1.0</v>
      </c>
      <c r="Y105" s="3">
        <v>0.0</v>
      </c>
      <c r="Z105" s="3">
        <v>0.0</v>
      </c>
      <c r="AA105" s="3">
        <v>0.0</v>
      </c>
      <c r="AB105" s="3">
        <v>0.0</v>
      </c>
      <c r="AC105" s="3">
        <v>0.0</v>
      </c>
      <c r="AD105" s="3" t="s">
        <v>1468</v>
      </c>
      <c r="AE105" s="5" t="s">
        <v>96</v>
      </c>
      <c r="AF105" s="5">
        <v>0.75</v>
      </c>
      <c r="AG105" s="3" t="s">
        <v>97</v>
      </c>
      <c r="AH105" s="3">
        <v>1.0</v>
      </c>
      <c r="AI105" s="3" t="s">
        <v>1469</v>
      </c>
      <c r="AJ105" s="5" t="s">
        <v>99</v>
      </c>
      <c r="AK105" s="5">
        <v>1.0</v>
      </c>
      <c r="AL105" s="3" t="s">
        <v>1470</v>
      </c>
      <c r="AM105" s="5" t="s">
        <v>101</v>
      </c>
      <c r="AN105" s="5">
        <v>0.75</v>
      </c>
      <c r="AO105" s="3" t="s">
        <v>97</v>
      </c>
      <c r="AP105" s="3">
        <v>1.0</v>
      </c>
      <c r="AQ105" s="3" t="s">
        <v>1471</v>
      </c>
      <c r="AR105" s="5" t="s">
        <v>103</v>
      </c>
      <c r="AS105" s="3">
        <v>1.0</v>
      </c>
      <c r="AT105" s="3" t="s">
        <v>94</v>
      </c>
      <c r="AU105" s="5" t="s">
        <v>104</v>
      </c>
      <c r="AV105" s="5">
        <v>1.0</v>
      </c>
      <c r="AW105" s="3" t="s">
        <v>1472</v>
      </c>
      <c r="AX105" s="5" t="s">
        <v>106</v>
      </c>
      <c r="AY105" s="5">
        <v>0.25</v>
      </c>
      <c r="AZ105" s="3" t="s">
        <v>1473</v>
      </c>
      <c r="BA105" s="5" t="s">
        <v>108</v>
      </c>
      <c r="BB105" s="5">
        <v>0.75</v>
      </c>
      <c r="BC105" s="3" t="s">
        <v>109</v>
      </c>
      <c r="BD105" s="5" t="s">
        <v>110</v>
      </c>
      <c r="BE105" s="3">
        <v>1.0</v>
      </c>
      <c r="BF105" s="3" t="s">
        <v>1474</v>
      </c>
      <c r="BG105" s="5" t="s">
        <v>112</v>
      </c>
      <c r="BH105" s="5">
        <v>0.5</v>
      </c>
      <c r="BI105" s="3" t="s">
        <v>1475</v>
      </c>
      <c r="BJ105" s="5" t="s">
        <v>114</v>
      </c>
      <c r="BK105" s="5">
        <v>1.0</v>
      </c>
      <c r="BL105" s="3" t="s">
        <v>115</v>
      </c>
      <c r="BM105" s="5" t="s">
        <v>116</v>
      </c>
      <c r="BN105" s="5">
        <v>1.0</v>
      </c>
      <c r="BO105" s="3" t="s">
        <v>211</v>
      </c>
      <c r="BP105" s="3"/>
      <c r="BQ105" s="3">
        <v>1.0</v>
      </c>
      <c r="BR105" s="3" t="s">
        <v>747</v>
      </c>
      <c r="BS105" s="5" t="s">
        <v>119</v>
      </c>
      <c r="BT105" s="5">
        <v>0.75</v>
      </c>
      <c r="BU105" s="3" t="s">
        <v>1476</v>
      </c>
      <c r="BV105" s="5" t="s">
        <v>121</v>
      </c>
      <c r="BW105" s="5">
        <v>0.5</v>
      </c>
      <c r="BX105" s="3" t="s">
        <v>1477</v>
      </c>
      <c r="BY105" s="5" t="s">
        <v>123</v>
      </c>
      <c r="BZ105" s="5">
        <v>0.5</v>
      </c>
      <c r="CA105" s="3" t="s">
        <v>97</v>
      </c>
      <c r="CB105" s="3" t="s">
        <v>1478</v>
      </c>
      <c r="CC105" s="3" t="s">
        <v>97</v>
      </c>
      <c r="CD105" s="3" t="s">
        <v>125</v>
      </c>
      <c r="CE105" s="3" t="s">
        <v>1479</v>
      </c>
      <c r="CF105" s="3" t="s">
        <v>167</v>
      </c>
      <c r="CG105" s="3" t="s">
        <v>1480</v>
      </c>
      <c r="CH105" s="3">
        <v>6.0</v>
      </c>
    </row>
    <row r="106" ht="14.25" customHeight="1">
      <c r="A106" s="3">
        <v>44737.8416736111</v>
      </c>
      <c r="B106" s="3" t="s">
        <v>86</v>
      </c>
      <c r="C106" s="3">
        <f t="shared" si="1"/>
        <v>1</v>
      </c>
      <c r="D106" s="3" t="s">
        <v>393</v>
      </c>
      <c r="E106" s="3" t="s">
        <v>394</v>
      </c>
      <c r="F106" s="3">
        <f t="shared" si="2"/>
        <v>0</v>
      </c>
      <c r="G106" s="3" t="s">
        <v>724</v>
      </c>
      <c r="H106" s="3" t="s">
        <v>151</v>
      </c>
      <c r="I106" s="3">
        <v>2.0</v>
      </c>
      <c r="J106" s="3" t="s">
        <v>91</v>
      </c>
      <c r="K106" s="3">
        <f t="shared" si="3"/>
        <v>1</v>
      </c>
      <c r="L106" s="3" t="s">
        <v>133</v>
      </c>
      <c r="M106" s="3">
        <f t="shared" si="4"/>
        <v>0</v>
      </c>
      <c r="N106" s="4"/>
      <c r="O106" s="3" t="s">
        <v>93</v>
      </c>
      <c r="P106" s="3" t="s">
        <v>725</v>
      </c>
      <c r="Q106" s="3">
        <v>1.0</v>
      </c>
      <c r="R106" s="3">
        <v>0.0</v>
      </c>
      <c r="S106" s="3">
        <v>0.0</v>
      </c>
      <c r="T106" s="3">
        <v>0.0</v>
      </c>
      <c r="U106" s="3">
        <v>0.0</v>
      </c>
      <c r="V106" s="3">
        <v>1.0</v>
      </c>
      <c r="W106" s="3">
        <v>0.0</v>
      </c>
      <c r="X106" s="3">
        <v>0.0</v>
      </c>
      <c r="Y106" s="3">
        <v>0.0</v>
      </c>
      <c r="Z106" s="3">
        <v>0.0</v>
      </c>
      <c r="AA106" s="3">
        <v>0.0</v>
      </c>
      <c r="AB106" s="3">
        <v>0.0</v>
      </c>
      <c r="AC106" s="3">
        <v>0.0</v>
      </c>
      <c r="AD106" s="3" t="s">
        <v>1481</v>
      </c>
      <c r="AE106" s="5" t="s">
        <v>96</v>
      </c>
      <c r="AF106" s="5">
        <v>0.75</v>
      </c>
      <c r="AG106" s="3" t="s">
        <v>97</v>
      </c>
      <c r="AH106" s="3">
        <v>1.0</v>
      </c>
      <c r="AI106" s="3" t="s">
        <v>1482</v>
      </c>
      <c r="AJ106" s="5" t="s">
        <v>99</v>
      </c>
      <c r="AK106" s="5">
        <v>1.0</v>
      </c>
      <c r="AL106" s="3" t="s">
        <v>1483</v>
      </c>
      <c r="AM106" s="5" t="s">
        <v>101</v>
      </c>
      <c r="AN106" s="5">
        <v>0.5</v>
      </c>
      <c r="AO106" s="3" t="s">
        <v>97</v>
      </c>
      <c r="AP106" s="3">
        <v>1.0</v>
      </c>
      <c r="AQ106" s="3" t="s">
        <v>1484</v>
      </c>
      <c r="AR106" s="5" t="s">
        <v>103</v>
      </c>
      <c r="AS106" s="3">
        <v>0.0</v>
      </c>
      <c r="AT106" s="3" t="s">
        <v>94</v>
      </c>
      <c r="AU106" s="5" t="s">
        <v>104</v>
      </c>
      <c r="AV106" s="5">
        <v>1.0</v>
      </c>
      <c r="AW106" s="3" t="s">
        <v>1485</v>
      </c>
      <c r="AX106" s="5" t="s">
        <v>106</v>
      </c>
      <c r="AY106" s="5">
        <v>0.25</v>
      </c>
      <c r="AZ106" s="3" t="s">
        <v>1486</v>
      </c>
      <c r="BA106" s="5" t="s">
        <v>108</v>
      </c>
      <c r="BB106" s="5">
        <v>0.75</v>
      </c>
      <c r="BC106" s="3" t="s">
        <v>109</v>
      </c>
      <c r="BD106" s="5" t="s">
        <v>110</v>
      </c>
      <c r="BE106" s="3">
        <v>1.0</v>
      </c>
      <c r="BF106" s="3" t="s">
        <v>1487</v>
      </c>
      <c r="BG106" s="5" t="s">
        <v>112</v>
      </c>
      <c r="BH106" s="5">
        <v>0.5</v>
      </c>
      <c r="BI106" s="3" t="s">
        <v>1488</v>
      </c>
      <c r="BJ106" s="5" t="s">
        <v>114</v>
      </c>
      <c r="BK106" s="5">
        <v>1.0</v>
      </c>
      <c r="BL106" s="3" t="s">
        <v>115</v>
      </c>
      <c r="BM106" s="5" t="s">
        <v>116</v>
      </c>
      <c r="BN106" s="5">
        <v>1.0</v>
      </c>
      <c r="BO106" s="3" t="s">
        <v>117</v>
      </c>
      <c r="BP106" s="3"/>
      <c r="BQ106" s="3">
        <v>1.0</v>
      </c>
      <c r="BR106" s="3" t="s">
        <v>161</v>
      </c>
      <c r="BS106" s="5" t="s">
        <v>119</v>
      </c>
      <c r="BT106" s="5">
        <v>1.0</v>
      </c>
      <c r="BU106" s="3" t="s">
        <v>1489</v>
      </c>
      <c r="BV106" s="5" t="s">
        <v>121</v>
      </c>
      <c r="BW106" s="5">
        <v>0.5</v>
      </c>
      <c r="BX106" s="3" t="s">
        <v>1490</v>
      </c>
      <c r="BY106" s="5" t="s">
        <v>123</v>
      </c>
      <c r="BZ106" s="5">
        <v>0.5</v>
      </c>
      <c r="CA106" s="3" t="s">
        <v>97</v>
      </c>
      <c r="CB106" s="3" t="s">
        <v>1491</v>
      </c>
      <c r="CC106" s="3" t="s">
        <v>97</v>
      </c>
      <c r="CD106" s="3" t="s">
        <v>165</v>
      </c>
      <c r="CE106" s="3" t="s">
        <v>1492</v>
      </c>
      <c r="CF106" s="3" t="s">
        <v>97</v>
      </c>
      <c r="CG106" s="3" t="s">
        <v>1493</v>
      </c>
      <c r="CH106" s="3">
        <v>5.0</v>
      </c>
    </row>
    <row r="107" ht="14.25" customHeight="1">
      <c r="A107" s="3">
        <v>44737.8482725232</v>
      </c>
      <c r="B107" s="3" t="s">
        <v>86</v>
      </c>
      <c r="C107" s="3">
        <f t="shared" si="1"/>
        <v>1</v>
      </c>
      <c r="D107" s="3" t="s">
        <v>169</v>
      </c>
      <c r="E107" s="3" t="s">
        <v>170</v>
      </c>
      <c r="F107" s="3">
        <f t="shared" si="2"/>
        <v>2</v>
      </c>
      <c r="G107" s="3" t="s">
        <v>130</v>
      </c>
      <c r="H107" s="3" t="s">
        <v>448</v>
      </c>
      <c r="I107" s="3">
        <v>1.0</v>
      </c>
      <c r="J107" s="3" t="s">
        <v>132</v>
      </c>
      <c r="K107" s="3">
        <f t="shared" si="3"/>
        <v>0</v>
      </c>
      <c r="L107" s="3" t="s">
        <v>133</v>
      </c>
      <c r="M107" s="3">
        <f t="shared" si="4"/>
        <v>0</v>
      </c>
      <c r="N107" s="4"/>
      <c r="O107" s="3" t="s">
        <v>93</v>
      </c>
      <c r="P107" s="3" t="s">
        <v>1494</v>
      </c>
      <c r="Q107" s="3">
        <v>0.0</v>
      </c>
      <c r="R107" s="3">
        <v>0.0</v>
      </c>
      <c r="S107" s="3">
        <v>1.0</v>
      </c>
      <c r="T107" s="3">
        <v>0.0</v>
      </c>
      <c r="U107" s="3">
        <v>0.0</v>
      </c>
      <c r="V107" s="3">
        <v>0.0</v>
      </c>
      <c r="W107" s="3">
        <v>0.0</v>
      </c>
      <c r="X107" s="3">
        <v>0.0</v>
      </c>
      <c r="Y107" s="3">
        <v>0.0</v>
      </c>
      <c r="Z107" s="3">
        <v>1.0</v>
      </c>
      <c r="AA107" s="3">
        <v>0.0</v>
      </c>
      <c r="AB107" s="3">
        <v>0.0</v>
      </c>
      <c r="AC107" s="3">
        <v>0.0</v>
      </c>
      <c r="AD107" s="3" t="s">
        <v>1495</v>
      </c>
      <c r="AE107" s="5" t="s">
        <v>96</v>
      </c>
      <c r="AF107" s="5">
        <v>0.0</v>
      </c>
      <c r="AG107" s="3" t="s">
        <v>97</v>
      </c>
      <c r="AH107" s="3">
        <v>1.0</v>
      </c>
      <c r="AI107" s="3" t="s">
        <v>1496</v>
      </c>
      <c r="AJ107" s="5" t="s">
        <v>99</v>
      </c>
      <c r="AK107" s="5">
        <v>1.0</v>
      </c>
      <c r="AL107" s="3" t="s">
        <v>1497</v>
      </c>
      <c r="AM107" s="5" t="s">
        <v>101</v>
      </c>
      <c r="AN107" s="5">
        <v>0.75</v>
      </c>
      <c r="AO107" s="3" t="s">
        <v>97</v>
      </c>
      <c r="AP107" s="3">
        <v>1.0</v>
      </c>
      <c r="AQ107" s="3" t="s">
        <v>1498</v>
      </c>
      <c r="AR107" s="5" t="s">
        <v>103</v>
      </c>
      <c r="AS107" s="3">
        <v>0.0</v>
      </c>
      <c r="AT107" s="3" t="s">
        <v>94</v>
      </c>
      <c r="AU107" s="5" t="s">
        <v>104</v>
      </c>
      <c r="AV107" s="5">
        <v>1.0</v>
      </c>
      <c r="AW107" s="3" t="s">
        <v>823</v>
      </c>
      <c r="AX107" s="5" t="s">
        <v>106</v>
      </c>
      <c r="AY107" s="5">
        <v>0.0</v>
      </c>
      <c r="AZ107" s="3" t="s">
        <v>1499</v>
      </c>
      <c r="BA107" s="5" t="s">
        <v>108</v>
      </c>
      <c r="BB107" s="5">
        <v>0.75</v>
      </c>
      <c r="BC107" s="3" t="s">
        <v>109</v>
      </c>
      <c r="BD107" s="5" t="s">
        <v>110</v>
      </c>
      <c r="BE107" s="3">
        <v>1.0</v>
      </c>
      <c r="BF107" s="3" t="s">
        <v>1500</v>
      </c>
      <c r="BG107" s="5" t="s">
        <v>112</v>
      </c>
      <c r="BH107" s="5">
        <v>0.75</v>
      </c>
      <c r="BI107" s="3" t="s">
        <v>1501</v>
      </c>
      <c r="BJ107" s="5" t="s">
        <v>114</v>
      </c>
      <c r="BK107" s="5">
        <v>1.0</v>
      </c>
      <c r="BL107" s="3" t="s">
        <v>115</v>
      </c>
      <c r="BM107" s="5" t="s">
        <v>116</v>
      </c>
      <c r="BN107" s="5">
        <v>1.0</v>
      </c>
      <c r="BO107" s="3" t="s">
        <v>211</v>
      </c>
      <c r="BP107" s="3"/>
      <c r="BQ107" s="3">
        <v>1.0</v>
      </c>
      <c r="BR107" s="3" t="s">
        <v>227</v>
      </c>
      <c r="BS107" s="5" t="s">
        <v>119</v>
      </c>
      <c r="BT107" s="5">
        <v>0.5</v>
      </c>
      <c r="BU107" s="3" t="s">
        <v>1502</v>
      </c>
      <c r="BV107" s="5" t="s">
        <v>121</v>
      </c>
      <c r="BW107" s="5">
        <v>0.5</v>
      </c>
      <c r="BX107" s="3" t="s">
        <v>1503</v>
      </c>
      <c r="BY107" s="5" t="s">
        <v>123</v>
      </c>
      <c r="BZ107" s="5">
        <v>0.5</v>
      </c>
      <c r="CA107" s="3" t="s">
        <v>97</v>
      </c>
      <c r="CB107" s="3" t="s">
        <v>1504</v>
      </c>
      <c r="CC107" s="3" t="s">
        <v>97</v>
      </c>
      <c r="CD107" s="3" t="s">
        <v>125</v>
      </c>
      <c r="CE107" s="3" t="s">
        <v>1505</v>
      </c>
      <c r="CF107" s="3" t="s">
        <v>97</v>
      </c>
      <c r="CG107" s="3" t="s">
        <v>1506</v>
      </c>
      <c r="CH107" s="3">
        <v>6.0</v>
      </c>
    </row>
    <row r="108" ht="14.25" customHeight="1">
      <c r="A108" s="3">
        <v>44737.8547491551</v>
      </c>
      <c r="B108" s="3" t="s">
        <v>86</v>
      </c>
      <c r="C108" s="3">
        <f t="shared" si="1"/>
        <v>1</v>
      </c>
      <c r="D108" s="3" t="s">
        <v>87</v>
      </c>
      <c r="E108" s="3" t="s">
        <v>88</v>
      </c>
      <c r="F108" s="3">
        <f t="shared" si="2"/>
        <v>1</v>
      </c>
      <c r="G108" s="3" t="s">
        <v>130</v>
      </c>
      <c r="H108" s="3" t="s">
        <v>1507</v>
      </c>
      <c r="I108" s="3">
        <v>2.0</v>
      </c>
      <c r="J108" s="3" t="s">
        <v>91</v>
      </c>
      <c r="K108" s="3">
        <f t="shared" si="3"/>
        <v>1</v>
      </c>
      <c r="L108" s="3" t="s">
        <v>133</v>
      </c>
      <c r="M108" s="3">
        <f t="shared" si="4"/>
        <v>0</v>
      </c>
      <c r="N108" s="4"/>
      <c r="O108" s="3" t="s">
        <v>93</v>
      </c>
      <c r="P108" s="3" t="s">
        <v>1508</v>
      </c>
      <c r="Q108" s="3">
        <v>1.0</v>
      </c>
      <c r="R108" s="3">
        <v>0.0</v>
      </c>
      <c r="S108" s="3">
        <v>1.0</v>
      </c>
      <c r="T108" s="3">
        <v>0.0</v>
      </c>
      <c r="U108" s="3">
        <v>0.0</v>
      </c>
      <c r="V108" s="3">
        <v>0.0</v>
      </c>
      <c r="W108" s="3">
        <v>0.0</v>
      </c>
      <c r="X108" s="3">
        <v>0.0</v>
      </c>
      <c r="Y108" s="3">
        <v>0.0</v>
      </c>
      <c r="Z108" s="3">
        <v>0.0</v>
      </c>
      <c r="AA108" s="3">
        <v>0.0</v>
      </c>
      <c r="AB108" s="3">
        <v>0.0</v>
      </c>
      <c r="AC108" s="3">
        <v>0.0</v>
      </c>
      <c r="AD108" s="3" t="s">
        <v>1509</v>
      </c>
      <c r="AE108" s="5" t="s">
        <v>96</v>
      </c>
      <c r="AF108" s="5">
        <v>0.5</v>
      </c>
      <c r="AG108" s="3" t="s">
        <v>97</v>
      </c>
      <c r="AH108" s="3">
        <v>1.0</v>
      </c>
      <c r="AI108" s="3" t="s">
        <v>1510</v>
      </c>
      <c r="AJ108" s="5" t="s">
        <v>99</v>
      </c>
      <c r="AK108" s="5">
        <v>1.0</v>
      </c>
      <c r="AL108" s="3" t="s">
        <v>1511</v>
      </c>
      <c r="AM108" s="5" t="s">
        <v>101</v>
      </c>
      <c r="AN108" s="5">
        <v>0.5</v>
      </c>
      <c r="AO108" s="3" t="s">
        <v>97</v>
      </c>
      <c r="AP108" s="3">
        <v>1.0</v>
      </c>
      <c r="AQ108" s="3" t="s">
        <v>1512</v>
      </c>
      <c r="AR108" s="5" t="s">
        <v>103</v>
      </c>
      <c r="AS108" s="3">
        <v>1.0</v>
      </c>
      <c r="AT108" s="3" t="s">
        <v>94</v>
      </c>
      <c r="AU108" s="5" t="s">
        <v>104</v>
      </c>
      <c r="AV108" s="5">
        <v>1.0</v>
      </c>
      <c r="AW108" s="3" t="s">
        <v>1513</v>
      </c>
      <c r="AX108" s="5" t="s">
        <v>106</v>
      </c>
      <c r="AY108" s="5">
        <v>0.0</v>
      </c>
      <c r="AZ108" s="3" t="s">
        <v>1514</v>
      </c>
      <c r="BA108" s="5" t="s">
        <v>108</v>
      </c>
      <c r="BB108" s="5">
        <v>0.5</v>
      </c>
      <c r="BC108" s="3" t="s">
        <v>109</v>
      </c>
      <c r="BD108" s="5" t="s">
        <v>110</v>
      </c>
      <c r="BE108" s="3">
        <v>1.0</v>
      </c>
      <c r="BF108" s="3" t="s">
        <v>1515</v>
      </c>
      <c r="BG108" s="5" t="s">
        <v>112</v>
      </c>
      <c r="BH108" s="5">
        <v>0.0</v>
      </c>
      <c r="BI108" s="3" t="s">
        <v>1516</v>
      </c>
      <c r="BJ108" s="5" t="s">
        <v>114</v>
      </c>
      <c r="BK108" s="5">
        <v>1.0</v>
      </c>
      <c r="BL108" s="3" t="s">
        <v>115</v>
      </c>
      <c r="BM108" s="5" t="s">
        <v>116</v>
      </c>
      <c r="BN108" s="5">
        <v>1.0</v>
      </c>
      <c r="BO108" s="3" t="s">
        <v>211</v>
      </c>
      <c r="BP108" s="3"/>
      <c r="BQ108" s="3">
        <v>1.0</v>
      </c>
      <c r="BR108" s="3" t="s">
        <v>747</v>
      </c>
      <c r="BS108" s="5" t="s">
        <v>119</v>
      </c>
      <c r="BT108" s="5">
        <v>0.75</v>
      </c>
      <c r="BU108" s="3" t="s">
        <v>1517</v>
      </c>
      <c r="BV108" s="5" t="s">
        <v>121</v>
      </c>
      <c r="BW108" s="5">
        <v>0.25</v>
      </c>
      <c r="BX108" s="3" t="s">
        <v>1518</v>
      </c>
      <c r="BY108" s="5" t="s">
        <v>123</v>
      </c>
      <c r="BZ108" s="5">
        <v>0.5</v>
      </c>
      <c r="CA108" s="3" t="s">
        <v>97</v>
      </c>
      <c r="CB108" s="3" t="s">
        <v>1519</v>
      </c>
      <c r="CC108" s="3" t="s">
        <v>97</v>
      </c>
      <c r="CD108" s="3" t="s">
        <v>165</v>
      </c>
      <c r="CE108" s="3" t="s">
        <v>1520</v>
      </c>
      <c r="CF108" s="3" t="s">
        <v>167</v>
      </c>
      <c r="CG108" s="3" t="s">
        <v>1521</v>
      </c>
      <c r="CH108" s="3">
        <v>5.0</v>
      </c>
    </row>
    <row r="109" ht="14.25" customHeight="1">
      <c r="A109" s="3">
        <v>44737.8610771991</v>
      </c>
      <c r="B109" s="3" t="s">
        <v>86</v>
      </c>
      <c r="C109" s="3">
        <f t="shared" si="1"/>
        <v>1</v>
      </c>
      <c r="D109" s="3" t="s">
        <v>87</v>
      </c>
      <c r="E109" s="3" t="s">
        <v>88</v>
      </c>
      <c r="F109" s="3">
        <f t="shared" si="2"/>
        <v>1</v>
      </c>
      <c r="G109" s="3" t="s">
        <v>130</v>
      </c>
      <c r="H109" s="3" t="s">
        <v>1507</v>
      </c>
      <c r="I109" s="3">
        <v>2.0</v>
      </c>
      <c r="J109" s="3" t="s">
        <v>91</v>
      </c>
      <c r="K109" s="3">
        <f t="shared" si="3"/>
        <v>1</v>
      </c>
      <c r="L109" s="3" t="s">
        <v>133</v>
      </c>
      <c r="M109" s="3">
        <f t="shared" si="4"/>
        <v>0</v>
      </c>
      <c r="N109" s="4"/>
      <c r="O109" s="3" t="s">
        <v>93</v>
      </c>
      <c r="P109" s="3" t="s">
        <v>894</v>
      </c>
      <c r="Q109" s="3">
        <v>1.0</v>
      </c>
      <c r="R109" s="3">
        <v>0.0</v>
      </c>
      <c r="S109" s="3">
        <v>1.0</v>
      </c>
      <c r="T109" s="3">
        <v>0.0</v>
      </c>
      <c r="U109" s="3">
        <v>0.0</v>
      </c>
      <c r="V109" s="3">
        <v>0.0</v>
      </c>
      <c r="W109" s="3">
        <v>0.0</v>
      </c>
      <c r="X109" s="3">
        <v>0.0</v>
      </c>
      <c r="Y109" s="3">
        <v>0.0</v>
      </c>
      <c r="Z109" s="3">
        <v>1.0</v>
      </c>
      <c r="AA109" s="3">
        <v>0.0</v>
      </c>
      <c r="AB109" s="3">
        <v>0.0</v>
      </c>
      <c r="AC109" s="3">
        <v>0.0</v>
      </c>
      <c r="AD109" s="3" t="s">
        <v>1522</v>
      </c>
      <c r="AE109" s="5" t="s">
        <v>96</v>
      </c>
      <c r="AF109" s="5">
        <v>0.25</v>
      </c>
      <c r="AG109" s="3" t="s">
        <v>97</v>
      </c>
      <c r="AH109" s="3">
        <v>1.0</v>
      </c>
      <c r="AI109" s="3" t="s">
        <v>1523</v>
      </c>
      <c r="AJ109" s="5" t="s">
        <v>99</v>
      </c>
      <c r="AK109" s="5">
        <v>1.0</v>
      </c>
      <c r="AL109" s="3" t="s">
        <v>1524</v>
      </c>
      <c r="AM109" s="5" t="s">
        <v>101</v>
      </c>
      <c r="AN109" s="5">
        <v>0.25</v>
      </c>
      <c r="AO109" s="3" t="s">
        <v>97</v>
      </c>
      <c r="AP109" s="3">
        <v>1.0</v>
      </c>
      <c r="AQ109" s="3" t="s">
        <v>1525</v>
      </c>
      <c r="AR109" s="5" t="s">
        <v>103</v>
      </c>
      <c r="AS109" s="3">
        <v>1.0</v>
      </c>
      <c r="AT109" s="3" t="s">
        <v>782</v>
      </c>
      <c r="AU109" s="5" t="s">
        <v>104</v>
      </c>
      <c r="AV109" s="5">
        <v>0.75</v>
      </c>
      <c r="AW109" s="3" t="s">
        <v>978</v>
      </c>
      <c r="AX109" s="5" t="s">
        <v>106</v>
      </c>
      <c r="AY109" s="5">
        <v>0.25</v>
      </c>
      <c r="AZ109" s="3" t="s">
        <v>1526</v>
      </c>
      <c r="BA109" s="5" t="s">
        <v>108</v>
      </c>
      <c r="BB109" s="5">
        <v>0.75</v>
      </c>
      <c r="BC109" s="3" t="s">
        <v>109</v>
      </c>
      <c r="BD109" s="5" t="s">
        <v>110</v>
      </c>
      <c r="BE109" s="3">
        <v>1.0</v>
      </c>
      <c r="BF109" s="3" t="s">
        <v>1527</v>
      </c>
      <c r="BG109" s="5" t="s">
        <v>112</v>
      </c>
      <c r="BH109" s="5">
        <v>0.75</v>
      </c>
      <c r="BI109" s="3" t="s">
        <v>1528</v>
      </c>
      <c r="BJ109" s="5" t="s">
        <v>114</v>
      </c>
      <c r="BK109" s="5">
        <v>0.75</v>
      </c>
      <c r="BL109" s="3" t="s">
        <v>115</v>
      </c>
      <c r="BM109" s="5" t="s">
        <v>116</v>
      </c>
      <c r="BN109" s="5">
        <v>1.0</v>
      </c>
      <c r="BO109" s="3" t="s">
        <v>117</v>
      </c>
      <c r="BP109" s="3"/>
      <c r="BQ109" s="3">
        <v>1.0</v>
      </c>
      <c r="BR109" s="3" t="s">
        <v>181</v>
      </c>
      <c r="BS109" s="5" t="s">
        <v>119</v>
      </c>
      <c r="BT109" s="5">
        <v>1.0</v>
      </c>
      <c r="BU109" s="3" t="s">
        <v>1529</v>
      </c>
      <c r="BV109" s="5" t="s">
        <v>121</v>
      </c>
      <c r="BW109" s="5">
        <v>0.75</v>
      </c>
      <c r="BX109" s="3" t="s">
        <v>1530</v>
      </c>
      <c r="BY109" s="5" t="s">
        <v>123</v>
      </c>
      <c r="BZ109" s="5">
        <v>0.75</v>
      </c>
      <c r="CA109" s="3" t="s">
        <v>97</v>
      </c>
      <c r="CB109" s="3" t="s">
        <v>1531</v>
      </c>
      <c r="CC109" s="3" t="s">
        <v>97</v>
      </c>
      <c r="CD109" s="3" t="s">
        <v>165</v>
      </c>
      <c r="CE109" s="3" t="s">
        <v>1532</v>
      </c>
      <c r="CF109" s="3" t="s">
        <v>167</v>
      </c>
      <c r="CG109" s="3" t="s">
        <v>1533</v>
      </c>
      <c r="CH109" s="3">
        <v>6.0</v>
      </c>
    </row>
    <row r="110" ht="14.25" customHeight="1">
      <c r="A110" s="3">
        <v>44737.8688088542</v>
      </c>
      <c r="B110" s="3" t="s">
        <v>149</v>
      </c>
      <c r="C110" s="3">
        <f t="shared" si="1"/>
        <v>0</v>
      </c>
      <c r="D110" s="3" t="s">
        <v>169</v>
      </c>
      <c r="E110" s="3" t="s">
        <v>170</v>
      </c>
      <c r="F110" s="3">
        <f t="shared" si="2"/>
        <v>2</v>
      </c>
      <c r="G110" s="3" t="s">
        <v>150</v>
      </c>
      <c r="H110" s="3" t="s">
        <v>594</v>
      </c>
      <c r="I110" s="3">
        <v>2.0</v>
      </c>
      <c r="J110" s="3" t="s">
        <v>132</v>
      </c>
      <c r="K110" s="3">
        <f t="shared" si="3"/>
        <v>0</v>
      </c>
      <c r="L110" s="3" t="s">
        <v>133</v>
      </c>
      <c r="M110" s="3">
        <f t="shared" si="4"/>
        <v>0</v>
      </c>
      <c r="N110" s="4"/>
      <c r="O110" s="3" t="s">
        <v>93</v>
      </c>
      <c r="P110" s="3" t="s">
        <v>25</v>
      </c>
      <c r="Q110" s="3">
        <v>0.0</v>
      </c>
      <c r="R110" s="3">
        <v>0.0</v>
      </c>
      <c r="S110" s="3">
        <v>0.0</v>
      </c>
      <c r="T110" s="3">
        <v>0.0</v>
      </c>
      <c r="U110" s="3">
        <v>0.0</v>
      </c>
      <c r="V110" s="3">
        <v>0.0</v>
      </c>
      <c r="W110" s="3">
        <v>0.0</v>
      </c>
      <c r="X110" s="3">
        <v>0.0</v>
      </c>
      <c r="Y110" s="3">
        <v>0.0</v>
      </c>
      <c r="Z110" s="3">
        <v>1.0</v>
      </c>
      <c r="AA110" s="3">
        <v>0.0</v>
      </c>
      <c r="AB110" s="3">
        <v>0.0</v>
      </c>
      <c r="AC110" s="3">
        <v>0.0</v>
      </c>
      <c r="AD110" s="3" t="s">
        <v>1534</v>
      </c>
      <c r="AE110" s="5" t="s">
        <v>96</v>
      </c>
      <c r="AF110" s="5">
        <v>0.0</v>
      </c>
      <c r="AG110" s="3" t="s">
        <v>167</v>
      </c>
      <c r="AH110" s="3">
        <v>0.0</v>
      </c>
      <c r="AI110" s="3" t="s">
        <v>1535</v>
      </c>
      <c r="AJ110" s="5" t="s">
        <v>99</v>
      </c>
      <c r="AK110" s="5">
        <v>1.0</v>
      </c>
      <c r="AL110" s="3" t="s">
        <v>1536</v>
      </c>
      <c r="AM110" s="5" t="s">
        <v>101</v>
      </c>
      <c r="AN110" s="5">
        <v>0.75</v>
      </c>
      <c r="AO110" s="3" t="s">
        <v>167</v>
      </c>
      <c r="AP110" s="3">
        <v>0.0</v>
      </c>
      <c r="AQ110" s="3" t="s">
        <v>1537</v>
      </c>
      <c r="AR110" s="5" t="s">
        <v>103</v>
      </c>
      <c r="AS110" s="3">
        <v>0.0</v>
      </c>
      <c r="AT110" s="3" t="s">
        <v>782</v>
      </c>
      <c r="AU110" s="5" t="s">
        <v>104</v>
      </c>
      <c r="AV110" s="5">
        <v>0.75</v>
      </c>
      <c r="AW110" s="3" t="s">
        <v>1538</v>
      </c>
      <c r="AX110" s="5" t="s">
        <v>106</v>
      </c>
      <c r="AY110" s="5">
        <v>0.5</v>
      </c>
      <c r="AZ110" s="3" t="s">
        <v>1539</v>
      </c>
      <c r="BA110" s="5" t="s">
        <v>108</v>
      </c>
      <c r="BB110" s="5">
        <v>0.25</v>
      </c>
      <c r="BC110" s="3" t="s">
        <v>109</v>
      </c>
      <c r="BD110" s="5" t="s">
        <v>110</v>
      </c>
      <c r="BE110" s="3">
        <v>1.0</v>
      </c>
      <c r="BF110" s="3" t="s">
        <v>1540</v>
      </c>
      <c r="BG110" s="5" t="s">
        <v>112</v>
      </c>
      <c r="BH110" s="5">
        <v>0.5</v>
      </c>
      <c r="BI110" s="3" t="s">
        <v>1541</v>
      </c>
      <c r="BJ110" s="5" t="s">
        <v>114</v>
      </c>
      <c r="BK110" s="5">
        <v>1.0</v>
      </c>
      <c r="BL110" s="3" t="s">
        <v>1542</v>
      </c>
      <c r="BM110" s="5" t="s">
        <v>116</v>
      </c>
      <c r="BN110" s="5">
        <v>1.0</v>
      </c>
      <c r="BO110" s="3" t="s">
        <v>211</v>
      </c>
      <c r="BP110" s="3"/>
      <c r="BQ110" s="3">
        <v>1.0</v>
      </c>
      <c r="BR110" s="3" t="s">
        <v>181</v>
      </c>
      <c r="BS110" s="5" t="s">
        <v>119</v>
      </c>
      <c r="BT110" s="5">
        <v>1.0</v>
      </c>
      <c r="BU110" s="3" t="s">
        <v>1543</v>
      </c>
      <c r="BV110" s="5" t="s">
        <v>121</v>
      </c>
      <c r="BW110" s="5">
        <v>0.25</v>
      </c>
      <c r="BX110" s="3" t="s">
        <v>1544</v>
      </c>
      <c r="BY110" s="5" t="s">
        <v>123</v>
      </c>
      <c r="BZ110" s="5">
        <v>0.25</v>
      </c>
      <c r="CA110" s="3" t="s">
        <v>97</v>
      </c>
      <c r="CB110" s="3" t="s">
        <v>1545</v>
      </c>
      <c r="CC110" s="3" t="s">
        <v>97</v>
      </c>
      <c r="CD110" s="3" t="s">
        <v>199</v>
      </c>
      <c r="CE110" s="3" t="s">
        <v>1546</v>
      </c>
      <c r="CF110" s="3" t="s">
        <v>167</v>
      </c>
      <c r="CG110" s="3" t="s">
        <v>1547</v>
      </c>
      <c r="CH110" s="3">
        <v>2.0</v>
      </c>
    </row>
    <row r="111" ht="14.25" customHeight="1">
      <c r="A111" s="3">
        <v>44737.8749637269</v>
      </c>
      <c r="B111" s="3" t="s">
        <v>86</v>
      </c>
      <c r="C111" s="3">
        <f t="shared" si="1"/>
        <v>1</v>
      </c>
      <c r="D111" s="3" t="s">
        <v>169</v>
      </c>
      <c r="E111" s="3" t="s">
        <v>170</v>
      </c>
      <c r="F111" s="3">
        <f t="shared" si="2"/>
        <v>2</v>
      </c>
      <c r="G111" s="3" t="s">
        <v>130</v>
      </c>
      <c r="H111" s="3" t="s">
        <v>131</v>
      </c>
      <c r="I111" s="3">
        <v>1.0</v>
      </c>
      <c r="J111" s="3" t="s">
        <v>91</v>
      </c>
      <c r="K111" s="3">
        <f t="shared" si="3"/>
        <v>1</v>
      </c>
      <c r="L111" s="3" t="s">
        <v>133</v>
      </c>
      <c r="M111" s="3">
        <f t="shared" si="4"/>
        <v>0</v>
      </c>
      <c r="N111" s="4"/>
      <c r="O111" s="3" t="s">
        <v>93</v>
      </c>
      <c r="P111" s="3" t="s">
        <v>25</v>
      </c>
      <c r="Q111" s="3">
        <v>0.0</v>
      </c>
      <c r="R111" s="3">
        <v>0.0</v>
      </c>
      <c r="S111" s="3">
        <v>0.0</v>
      </c>
      <c r="T111" s="3">
        <v>0.0</v>
      </c>
      <c r="U111" s="3">
        <v>0.0</v>
      </c>
      <c r="V111" s="3">
        <v>0.0</v>
      </c>
      <c r="W111" s="3">
        <v>0.0</v>
      </c>
      <c r="X111" s="3">
        <v>0.0</v>
      </c>
      <c r="Y111" s="3">
        <v>0.0</v>
      </c>
      <c r="Z111" s="3">
        <v>1.0</v>
      </c>
      <c r="AA111" s="3">
        <v>0.0</v>
      </c>
      <c r="AB111" s="3">
        <v>0.0</v>
      </c>
      <c r="AC111" s="3">
        <v>0.0</v>
      </c>
      <c r="AD111" s="3" t="s">
        <v>1548</v>
      </c>
      <c r="AE111" s="5" t="s">
        <v>96</v>
      </c>
      <c r="AF111" s="5">
        <v>0.25</v>
      </c>
      <c r="AG111" s="3" t="s">
        <v>97</v>
      </c>
      <c r="AH111" s="3">
        <v>1.0</v>
      </c>
      <c r="AI111" s="3" t="s">
        <v>1549</v>
      </c>
      <c r="AJ111" s="5" t="s">
        <v>99</v>
      </c>
      <c r="AK111" s="5">
        <v>1.0</v>
      </c>
      <c r="AL111" s="3" t="s">
        <v>1550</v>
      </c>
      <c r="AM111" s="5" t="s">
        <v>101</v>
      </c>
      <c r="AN111" s="5">
        <v>0.5</v>
      </c>
      <c r="AO111" s="3" t="s">
        <v>97</v>
      </c>
      <c r="AP111" s="3">
        <v>1.0</v>
      </c>
      <c r="AQ111" s="3" t="s">
        <v>1551</v>
      </c>
      <c r="AR111" s="5" t="s">
        <v>103</v>
      </c>
      <c r="AS111" s="3">
        <v>1.0</v>
      </c>
      <c r="AT111" s="3" t="s">
        <v>782</v>
      </c>
      <c r="AU111" s="5" t="s">
        <v>104</v>
      </c>
      <c r="AV111" s="5">
        <v>0.75</v>
      </c>
      <c r="AW111" s="3" t="s">
        <v>1552</v>
      </c>
      <c r="AX111" s="5" t="s">
        <v>106</v>
      </c>
      <c r="AY111" s="5">
        <v>0.25</v>
      </c>
      <c r="AZ111" s="3" t="s">
        <v>1553</v>
      </c>
      <c r="BA111" s="5" t="s">
        <v>108</v>
      </c>
      <c r="BB111" s="5">
        <v>0.75</v>
      </c>
      <c r="BC111" s="3" t="s">
        <v>109</v>
      </c>
      <c r="BD111" s="5" t="s">
        <v>110</v>
      </c>
      <c r="BE111" s="3">
        <v>1.0</v>
      </c>
      <c r="BF111" s="3" t="s">
        <v>1554</v>
      </c>
      <c r="BG111" s="5" t="s">
        <v>112</v>
      </c>
      <c r="BH111" s="5">
        <v>0.5</v>
      </c>
      <c r="BI111" s="3" t="s">
        <v>1555</v>
      </c>
      <c r="BJ111" s="5" t="s">
        <v>114</v>
      </c>
      <c r="BK111" s="5">
        <v>0.75</v>
      </c>
      <c r="BL111" s="3" t="s">
        <v>115</v>
      </c>
      <c r="BM111" s="5" t="s">
        <v>116</v>
      </c>
      <c r="BN111" s="5">
        <v>1.0</v>
      </c>
      <c r="BO111" s="3" t="s">
        <v>211</v>
      </c>
      <c r="BP111" s="3"/>
      <c r="BQ111" s="3">
        <v>1.0</v>
      </c>
      <c r="BR111" s="3" t="s">
        <v>181</v>
      </c>
      <c r="BS111" s="5" t="s">
        <v>119</v>
      </c>
      <c r="BT111" s="5">
        <v>1.0</v>
      </c>
      <c r="BU111" s="3" t="s">
        <v>1556</v>
      </c>
      <c r="BV111" s="5" t="s">
        <v>121</v>
      </c>
      <c r="BW111" s="5">
        <v>0.75</v>
      </c>
      <c r="BX111" s="3" t="s">
        <v>1557</v>
      </c>
      <c r="BY111" s="5" t="s">
        <v>123</v>
      </c>
      <c r="BZ111" s="5">
        <v>0.5</v>
      </c>
      <c r="CA111" s="3" t="s">
        <v>97</v>
      </c>
      <c r="CB111" s="3" t="s">
        <v>1558</v>
      </c>
      <c r="CC111" s="3" t="s">
        <v>97</v>
      </c>
      <c r="CD111" s="3" t="s">
        <v>125</v>
      </c>
      <c r="CE111" s="3" t="s">
        <v>1559</v>
      </c>
      <c r="CF111" s="3" t="s">
        <v>97</v>
      </c>
      <c r="CG111" s="3" t="s">
        <v>1560</v>
      </c>
      <c r="CH111" s="3">
        <v>7.0</v>
      </c>
    </row>
    <row r="112" ht="14.25" customHeight="1">
      <c r="A112" s="3">
        <v>44737.8821995486</v>
      </c>
      <c r="B112" s="3" t="s">
        <v>149</v>
      </c>
      <c r="C112" s="3">
        <f t="shared" si="1"/>
        <v>0</v>
      </c>
      <c r="D112" s="3" t="s">
        <v>169</v>
      </c>
      <c r="E112" s="3" t="s">
        <v>170</v>
      </c>
      <c r="F112" s="3">
        <f t="shared" si="2"/>
        <v>2</v>
      </c>
      <c r="G112" s="3" t="s">
        <v>150</v>
      </c>
      <c r="H112" s="3" t="s">
        <v>259</v>
      </c>
      <c r="I112" s="3">
        <v>1.0</v>
      </c>
      <c r="J112" s="3" t="s">
        <v>91</v>
      </c>
      <c r="K112" s="3">
        <f t="shared" si="3"/>
        <v>1</v>
      </c>
      <c r="L112" s="3" t="s">
        <v>133</v>
      </c>
      <c r="M112" s="3">
        <f t="shared" si="4"/>
        <v>0</v>
      </c>
      <c r="N112" s="4"/>
      <c r="O112" s="3" t="s">
        <v>93</v>
      </c>
      <c r="P112" s="3" t="s">
        <v>1561</v>
      </c>
      <c r="Q112" s="3">
        <v>1.0</v>
      </c>
      <c r="R112" s="3">
        <v>1.0</v>
      </c>
      <c r="S112" s="3">
        <v>1.0</v>
      </c>
      <c r="T112" s="3">
        <v>0.0</v>
      </c>
      <c r="U112" s="3">
        <v>0.0</v>
      </c>
      <c r="V112" s="3">
        <v>0.0</v>
      </c>
      <c r="W112" s="3">
        <v>0.0</v>
      </c>
      <c r="X112" s="3">
        <v>0.0</v>
      </c>
      <c r="Y112" s="3">
        <v>0.0</v>
      </c>
      <c r="Z112" s="3">
        <v>1.0</v>
      </c>
      <c r="AA112" s="3">
        <v>0.0</v>
      </c>
      <c r="AB112" s="3">
        <v>0.0</v>
      </c>
      <c r="AC112" s="3">
        <v>0.0</v>
      </c>
      <c r="AD112" s="3" t="s">
        <v>1562</v>
      </c>
      <c r="AE112" s="5" t="s">
        <v>96</v>
      </c>
      <c r="AF112" s="5">
        <v>0.25</v>
      </c>
      <c r="AG112" s="3" t="s">
        <v>97</v>
      </c>
      <c r="AH112" s="3">
        <v>1.0</v>
      </c>
      <c r="AI112" s="3" t="s">
        <v>612</v>
      </c>
      <c r="AJ112" s="5" t="s">
        <v>99</v>
      </c>
      <c r="AK112" s="5">
        <v>1.0</v>
      </c>
      <c r="AL112" s="3" t="s">
        <v>1563</v>
      </c>
      <c r="AM112" s="5" t="s">
        <v>101</v>
      </c>
      <c r="AN112" s="5">
        <v>0.5</v>
      </c>
      <c r="AO112" s="3" t="s">
        <v>97</v>
      </c>
      <c r="AP112" s="3">
        <v>1.0</v>
      </c>
      <c r="AQ112" s="3" t="s">
        <v>1564</v>
      </c>
      <c r="AR112" s="5" t="s">
        <v>103</v>
      </c>
      <c r="AS112" s="3">
        <v>0.0</v>
      </c>
      <c r="AT112" s="3" t="s">
        <v>94</v>
      </c>
      <c r="AU112" s="5" t="s">
        <v>104</v>
      </c>
      <c r="AV112" s="5">
        <v>1.0</v>
      </c>
      <c r="AW112" s="3" t="s">
        <v>1565</v>
      </c>
      <c r="AX112" s="5" t="s">
        <v>106</v>
      </c>
      <c r="AY112" s="5">
        <v>0.25</v>
      </c>
      <c r="AZ112" s="3" t="s">
        <v>1566</v>
      </c>
      <c r="BA112" s="5" t="s">
        <v>108</v>
      </c>
      <c r="BB112" s="5">
        <v>0.75</v>
      </c>
      <c r="BC112" s="3" t="s">
        <v>109</v>
      </c>
      <c r="BD112" s="5" t="s">
        <v>110</v>
      </c>
      <c r="BE112" s="3">
        <v>1.0</v>
      </c>
      <c r="BF112" s="3" t="s">
        <v>1567</v>
      </c>
      <c r="BG112" s="5" t="s">
        <v>112</v>
      </c>
      <c r="BH112" s="5">
        <v>0.75</v>
      </c>
      <c r="BI112" s="3" t="s">
        <v>1568</v>
      </c>
      <c r="BJ112" s="5" t="s">
        <v>114</v>
      </c>
      <c r="BK112" s="5">
        <v>1.0</v>
      </c>
      <c r="BL112" s="3" t="s">
        <v>589</v>
      </c>
      <c r="BM112" s="5" t="s">
        <v>116</v>
      </c>
      <c r="BN112" s="5">
        <v>0.5</v>
      </c>
      <c r="BO112" s="3" t="s">
        <v>117</v>
      </c>
      <c r="BP112" s="3"/>
      <c r="BQ112" s="3">
        <v>1.0</v>
      </c>
      <c r="BR112" s="3" t="s">
        <v>227</v>
      </c>
      <c r="BS112" s="5" t="s">
        <v>119</v>
      </c>
      <c r="BT112" s="5">
        <v>0.5</v>
      </c>
      <c r="BU112" s="3" t="s">
        <v>1569</v>
      </c>
      <c r="BV112" s="5" t="s">
        <v>121</v>
      </c>
      <c r="BW112" s="5">
        <v>0.75</v>
      </c>
      <c r="BX112" s="3" t="s">
        <v>1570</v>
      </c>
      <c r="BY112" s="5" t="s">
        <v>123</v>
      </c>
      <c r="BZ112" s="5">
        <v>0.75</v>
      </c>
      <c r="CA112" s="3" t="s">
        <v>97</v>
      </c>
      <c r="CB112" s="3" t="s">
        <v>1571</v>
      </c>
      <c r="CC112" s="3" t="s">
        <v>97</v>
      </c>
      <c r="CD112" s="3" t="s">
        <v>125</v>
      </c>
      <c r="CE112" s="3" t="s">
        <v>1572</v>
      </c>
      <c r="CF112" s="3" t="s">
        <v>167</v>
      </c>
      <c r="CG112" s="3" t="s">
        <v>1573</v>
      </c>
      <c r="CH112" s="3">
        <v>5.0</v>
      </c>
    </row>
    <row r="113" ht="14.25" customHeight="1">
      <c r="A113" s="3">
        <v>44737.894288831</v>
      </c>
      <c r="B113" s="3" t="s">
        <v>86</v>
      </c>
      <c r="C113" s="3">
        <f t="shared" si="1"/>
        <v>1</v>
      </c>
      <c r="D113" s="3" t="s">
        <v>169</v>
      </c>
      <c r="E113" s="3" t="s">
        <v>170</v>
      </c>
      <c r="F113" s="3">
        <f t="shared" si="2"/>
        <v>2</v>
      </c>
      <c r="G113" s="3" t="s">
        <v>724</v>
      </c>
      <c r="H113" s="3" t="s">
        <v>259</v>
      </c>
      <c r="I113" s="3">
        <v>1.0</v>
      </c>
      <c r="J113" s="3" t="s">
        <v>91</v>
      </c>
      <c r="K113" s="3">
        <f t="shared" si="3"/>
        <v>1</v>
      </c>
      <c r="L113" s="3" t="s">
        <v>133</v>
      </c>
      <c r="M113" s="3">
        <f t="shared" si="4"/>
        <v>0</v>
      </c>
      <c r="N113" s="4"/>
      <c r="O113" s="3" t="s">
        <v>93</v>
      </c>
      <c r="P113" s="3" t="s">
        <v>1574</v>
      </c>
      <c r="Q113" s="3">
        <v>1.0</v>
      </c>
      <c r="R113" s="3">
        <v>1.0</v>
      </c>
      <c r="S113" s="3">
        <v>1.0</v>
      </c>
      <c r="T113" s="3">
        <v>0.0</v>
      </c>
      <c r="U113" s="3">
        <v>0.0</v>
      </c>
      <c r="V113" s="3">
        <v>0.0</v>
      </c>
      <c r="W113" s="3">
        <v>0.0</v>
      </c>
      <c r="X113" s="3">
        <v>0.0</v>
      </c>
      <c r="Y113" s="3">
        <v>0.0</v>
      </c>
      <c r="Z113" s="3">
        <v>0.0</v>
      </c>
      <c r="AA113" s="3">
        <v>0.0</v>
      </c>
      <c r="AB113" s="3">
        <v>0.0</v>
      </c>
      <c r="AC113" s="3">
        <v>0.0</v>
      </c>
      <c r="AD113" s="3" t="s">
        <v>1575</v>
      </c>
      <c r="AE113" s="5" t="s">
        <v>96</v>
      </c>
      <c r="AF113" s="5">
        <v>0.5</v>
      </c>
      <c r="AG113" s="3" t="s">
        <v>97</v>
      </c>
      <c r="AH113" s="3">
        <v>1.0</v>
      </c>
      <c r="AI113" s="3" t="s">
        <v>1576</v>
      </c>
      <c r="AJ113" s="5" t="s">
        <v>99</v>
      </c>
      <c r="AK113" s="5">
        <v>1.0</v>
      </c>
      <c r="AL113" s="3" t="s">
        <v>1577</v>
      </c>
      <c r="AM113" s="5" t="s">
        <v>101</v>
      </c>
      <c r="AN113" s="5">
        <v>1.0</v>
      </c>
      <c r="AO113" s="3" t="s">
        <v>97</v>
      </c>
      <c r="AP113" s="3">
        <v>1.0</v>
      </c>
      <c r="AQ113" s="3" t="s">
        <v>1578</v>
      </c>
      <c r="AR113" s="5" t="s">
        <v>103</v>
      </c>
      <c r="AS113" s="3">
        <v>0.0</v>
      </c>
      <c r="AT113" s="3" t="s">
        <v>782</v>
      </c>
      <c r="AU113" s="5" t="s">
        <v>104</v>
      </c>
      <c r="AV113" s="5">
        <v>0.75</v>
      </c>
      <c r="AW113" s="3" t="s">
        <v>1579</v>
      </c>
      <c r="AX113" s="5" t="s">
        <v>106</v>
      </c>
      <c r="AY113" s="5">
        <v>0.0</v>
      </c>
      <c r="AZ113" s="3" t="s">
        <v>1580</v>
      </c>
      <c r="BA113" s="5" t="s">
        <v>108</v>
      </c>
      <c r="BB113" s="5">
        <v>0.75</v>
      </c>
      <c r="BC113" s="3" t="s">
        <v>109</v>
      </c>
      <c r="BD113" s="5" t="s">
        <v>110</v>
      </c>
      <c r="BE113" s="3">
        <v>1.0</v>
      </c>
      <c r="BF113" s="3" t="s">
        <v>1581</v>
      </c>
      <c r="BG113" s="5" t="s">
        <v>112</v>
      </c>
      <c r="BH113" s="5">
        <v>0.5</v>
      </c>
      <c r="BI113" s="3" t="s">
        <v>1582</v>
      </c>
      <c r="BJ113" s="5" t="s">
        <v>114</v>
      </c>
      <c r="BK113" s="5">
        <v>0.75</v>
      </c>
      <c r="BL113" s="3" t="s">
        <v>115</v>
      </c>
      <c r="BM113" s="5" t="s">
        <v>116</v>
      </c>
      <c r="BN113" s="5">
        <v>1.0</v>
      </c>
      <c r="BO113" s="3" t="s">
        <v>117</v>
      </c>
      <c r="BP113" s="3"/>
      <c r="BQ113" s="3">
        <v>1.0</v>
      </c>
      <c r="BR113" s="3" t="s">
        <v>227</v>
      </c>
      <c r="BS113" s="5" t="s">
        <v>119</v>
      </c>
      <c r="BT113" s="5">
        <v>0.5</v>
      </c>
      <c r="BU113" s="3" t="s">
        <v>1583</v>
      </c>
      <c r="BV113" s="5" t="s">
        <v>121</v>
      </c>
      <c r="BW113" s="5">
        <v>0.25</v>
      </c>
      <c r="BX113" s="3" t="s">
        <v>1584</v>
      </c>
      <c r="BY113" s="5" t="s">
        <v>123</v>
      </c>
      <c r="BZ113" s="5">
        <v>0.75</v>
      </c>
      <c r="CA113" s="3" t="s">
        <v>97</v>
      </c>
      <c r="CB113" s="3" t="s">
        <v>1585</v>
      </c>
      <c r="CC113" s="3" t="s">
        <v>97</v>
      </c>
      <c r="CD113" s="3" t="s">
        <v>125</v>
      </c>
      <c r="CE113" s="3" t="s">
        <v>1586</v>
      </c>
      <c r="CF113" s="3" t="s">
        <v>167</v>
      </c>
      <c r="CG113" s="3" t="s">
        <v>1587</v>
      </c>
      <c r="CH113" s="3">
        <v>5.0</v>
      </c>
    </row>
    <row r="114" ht="14.25" customHeight="1">
      <c r="A114" s="3">
        <v>44738.1556304514</v>
      </c>
      <c r="B114" s="3" t="s">
        <v>149</v>
      </c>
      <c r="C114" s="3">
        <f t="shared" si="1"/>
        <v>0</v>
      </c>
      <c r="D114" s="3" t="s">
        <v>169</v>
      </c>
      <c r="E114" s="3" t="s">
        <v>170</v>
      </c>
      <c r="F114" s="3">
        <f t="shared" si="2"/>
        <v>2</v>
      </c>
      <c r="G114" s="3" t="s">
        <v>150</v>
      </c>
      <c r="H114" s="3" t="s">
        <v>171</v>
      </c>
      <c r="I114" s="3">
        <v>1.0</v>
      </c>
      <c r="J114" s="3" t="s">
        <v>132</v>
      </c>
      <c r="K114" s="3">
        <f t="shared" si="3"/>
        <v>0</v>
      </c>
      <c r="L114" s="3" t="s">
        <v>133</v>
      </c>
      <c r="M114" s="3">
        <f t="shared" si="4"/>
        <v>0</v>
      </c>
      <c r="N114" s="4"/>
      <c r="O114" s="3" t="s">
        <v>93</v>
      </c>
      <c r="P114" s="3" t="s">
        <v>1588</v>
      </c>
      <c r="Q114" s="3">
        <v>0.0</v>
      </c>
      <c r="R114" s="3">
        <v>1.0</v>
      </c>
      <c r="S114" s="3">
        <v>0.0</v>
      </c>
      <c r="T114" s="3">
        <v>0.0</v>
      </c>
      <c r="U114" s="3">
        <v>0.0</v>
      </c>
      <c r="V114" s="3">
        <v>0.0</v>
      </c>
      <c r="W114" s="3">
        <v>0.0</v>
      </c>
      <c r="X114" s="3">
        <v>1.0</v>
      </c>
      <c r="Y114" s="3">
        <v>0.0</v>
      </c>
      <c r="Z114" s="3">
        <v>1.0</v>
      </c>
      <c r="AA114" s="3">
        <v>0.0</v>
      </c>
      <c r="AB114" s="3">
        <v>0.0</v>
      </c>
      <c r="AC114" s="3">
        <v>0.0</v>
      </c>
      <c r="AD114" s="3" t="s">
        <v>1589</v>
      </c>
      <c r="AE114" s="5" t="s">
        <v>96</v>
      </c>
      <c r="AF114" s="5">
        <v>0.0</v>
      </c>
      <c r="AG114" s="3" t="s">
        <v>97</v>
      </c>
      <c r="AH114" s="3">
        <v>1.0</v>
      </c>
      <c r="AI114" s="3" t="s">
        <v>1590</v>
      </c>
      <c r="AJ114" s="5" t="s">
        <v>99</v>
      </c>
      <c r="AK114" s="5">
        <v>1.0</v>
      </c>
      <c r="AL114" s="3" t="s">
        <v>1591</v>
      </c>
      <c r="AM114" s="5" t="s">
        <v>101</v>
      </c>
      <c r="AN114" s="5">
        <v>0.5</v>
      </c>
      <c r="AO114" s="3" t="s">
        <v>97</v>
      </c>
      <c r="AP114" s="3">
        <v>1.0</v>
      </c>
      <c r="AQ114" s="3" t="s">
        <v>1592</v>
      </c>
      <c r="AR114" s="5" t="s">
        <v>103</v>
      </c>
      <c r="AS114" s="3">
        <v>1.0</v>
      </c>
      <c r="AT114" s="3" t="s">
        <v>94</v>
      </c>
      <c r="AU114" s="5" t="s">
        <v>104</v>
      </c>
      <c r="AV114" s="5">
        <v>1.0</v>
      </c>
      <c r="AW114" s="3" t="s">
        <v>1593</v>
      </c>
      <c r="AX114" s="5" t="s">
        <v>106</v>
      </c>
      <c r="AY114" s="5">
        <v>0.0</v>
      </c>
      <c r="AZ114" s="3" t="s">
        <v>1594</v>
      </c>
      <c r="BA114" s="5" t="s">
        <v>108</v>
      </c>
      <c r="BB114" s="5">
        <v>0.25</v>
      </c>
      <c r="BC114" s="3" t="s">
        <v>109</v>
      </c>
      <c r="BD114" s="5" t="s">
        <v>110</v>
      </c>
      <c r="BE114" s="3">
        <v>1.0</v>
      </c>
      <c r="BF114" s="3" t="s">
        <v>1595</v>
      </c>
      <c r="BG114" s="5" t="s">
        <v>112</v>
      </c>
      <c r="BH114" s="5">
        <v>0.0</v>
      </c>
      <c r="BI114" s="3" t="s">
        <v>1596</v>
      </c>
      <c r="BJ114" s="5" t="s">
        <v>114</v>
      </c>
      <c r="BK114" s="5">
        <v>1.0</v>
      </c>
      <c r="BL114" s="3" t="s">
        <v>115</v>
      </c>
      <c r="BM114" s="5" t="s">
        <v>116</v>
      </c>
      <c r="BN114" s="5">
        <v>0.75</v>
      </c>
      <c r="BO114" s="3" t="s">
        <v>117</v>
      </c>
      <c r="BP114" s="3"/>
      <c r="BQ114" s="3">
        <v>1.0</v>
      </c>
      <c r="BR114" s="3" t="s">
        <v>161</v>
      </c>
      <c r="BS114" s="5" t="s">
        <v>119</v>
      </c>
      <c r="BT114" s="5">
        <v>1.0</v>
      </c>
      <c r="BU114" s="3" t="s">
        <v>1597</v>
      </c>
      <c r="BV114" s="5" t="s">
        <v>121</v>
      </c>
      <c r="BW114" s="5">
        <v>0.5</v>
      </c>
      <c r="BX114" s="3" t="s">
        <v>1598</v>
      </c>
      <c r="BY114" s="5" t="s">
        <v>123</v>
      </c>
      <c r="BZ114" s="5">
        <v>0.5</v>
      </c>
      <c r="CA114" s="3" t="s">
        <v>97</v>
      </c>
      <c r="CB114" s="3" t="s">
        <v>1599</v>
      </c>
      <c r="CC114" s="3" t="s">
        <v>97</v>
      </c>
      <c r="CD114" s="3" t="s">
        <v>199</v>
      </c>
      <c r="CE114" s="3" t="s">
        <v>1600</v>
      </c>
      <c r="CF114" s="3" t="s">
        <v>167</v>
      </c>
      <c r="CG114" s="3" t="s">
        <v>1601</v>
      </c>
      <c r="CH114" s="3">
        <v>5.0</v>
      </c>
    </row>
    <row r="115" ht="14.25" customHeight="1">
      <c r="A115" s="3">
        <v>44738.1632704167</v>
      </c>
      <c r="B115" s="3" t="s">
        <v>86</v>
      </c>
      <c r="C115" s="3">
        <f t="shared" si="1"/>
        <v>1</v>
      </c>
      <c r="D115" s="3" t="s">
        <v>87</v>
      </c>
      <c r="E115" s="3" t="s">
        <v>88</v>
      </c>
      <c r="F115" s="3">
        <f t="shared" si="2"/>
        <v>1</v>
      </c>
      <c r="G115" s="3" t="s">
        <v>130</v>
      </c>
      <c r="H115" s="3" t="s">
        <v>259</v>
      </c>
      <c r="I115" s="3">
        <v>1.0</v>
      </c>
      <c r="J115" s="3" t="s">
        <v>91</v>
      </c>
      <c r="K115" s="3">
        <f t="shared" si="3"/>
        <v>1</v>
      </c>
      <c r="L115" s="3" t="s">
        <v>133</v>
      </c>
      <c r="M115" s="3">
        <f t="shared" si="4"/>
        <v>0</v>
      </c>
      <c r="N115" s="4"/>
      <c r="O115" s="3" t="s">
        <v>93</v>
      </c>
      <c r="P115" s="3" t="s">
        <v>1508</v>
      </c>
      <c r="Q115" s="3">
        <v>1.0</v>
      </c>
      <c r="R115" s="3">
        <v>0.0</v>
      </c>
      <c r="S115" s="3">
        <v>1.0</v>
      </c>
      <c r="T115" s="3">
        <v>0.0</v>
      </c>
      <c r="U115" s="3">
        <v>0.0</v>
      </c>
      <c r="V115" s="3">
        <v>0.0</v>
      </c>
      <c r="W115" s="3">
        <v>0.0</v>
      </c>
      <c r="X115" s="3">
        <v>0.0</v>
      </c>
      <c r="Y115" s="3">
        <v>0.0</v>
      </c>
      <c r="Z115" s="3">
        <v>0.0</v>
      </c>
      <c r="AA115" s="3">
        <v>0.0</v>
      </c>
      <c r="AB115" s="3">
        <v>0.0</v>
      </c>
      <c r="AC115" s="3">
        <v>0.0</v>
      </c>
      <c r="AD115" s="3" t="s">
        <v>1602</v>
      </c>
      <c r="AE115" s="5" t="s">
        <v>96</v>
      </c>
      <c r="AF115" s="5">
        <v>0.5</v>
      </c>
      <c r="AG115" s="3" t="s">
        <v>97</v>
      </c>
      <c r="AH115" s="3">
        <v>1.0</v>
      </c>
      <c r="AI115" s="3" t="s">
        <v>1496</v>
      </c>
      <c r="AJ115" s="5" t="s">
        <v>99</v>
      </c>
      <c r="AK115" s="5">
        <v>1.0</v>
      </c>
      <c r="AL115" s="3" t="s">
        <v>1603</v>
      </c>
      <c r="AM115" s="5" t="s">
        <v>101</v>
      </c>
      <c r="AN115" s="5">
        <v>0.75</v>
      </c>
      <c r="AO115" s="3" t="s">
        <v>97</v>
      </c>
      <c r="AP115" s="3">
        <v>1.0</v>
      </c>
      <c r="AQ115" s="3" t="s">
        <v>1604</v>
      </c>
      <c r="AR115" s="5" t="s">
        <v>103</v>
      </c>
      <c r="AS115" s="3">
        <v>1.0</v>
      </c>
      <c r="AT115" s="3" t="s">
        <v>94</v>
      </c>
      <c r="AU115" s="5" t="s">
        <v>104</v>
      </c>
      <c r="AV115" s="5">
        <v>1.0</v>
      </c>
      <c r="AW115" s="3" t="s">
        <v>105</v>
      </c>
      <c r="AX115" s="5" t="s">
        <v>106</v>
      </c>
      <c r="AY115" s="5">
        <v>0.0</v>
      </c>
      <c r="AZ115" s="3" t="s">
        <v>1605</v>
      </c>
      <c r="BA115" s="5" t="s">
        <v>108</v>
      </c>
      <c r="BB115" s="5">
        <v>0.75</v>
      </c>
      <c r="BC115" s="3" t="s">
        <v>109</v>
      </c>
      <c r="BD115" s="5" t="s">
        <v>110</v>
      </c>
      <c r="BE115" s="3">
        <v>1.0</v>
      </c>
      <c r="BF115" s="3" t="s">
        <v>1606</v>
      </c>
      <c r="BG115" s="5" t="s">
        <v>112</v>
      </c>
      <c r="BH115" s="5">
        <v>0.5</v>
      </c>
      <c r="BI115" s="3" t="s">
        <v>1607</v>
      </c>
      <c r="BJ115" s="5" t="s">
        <v>114</v>
      </c>
      <c r="BK115" s="5">
        <v>0.75</v>
      </c>
      <c r="BL115" s="3" t="s">
        <v>115</v>
      </c>
      <c r="BM115" s="5" t="s">
        <v>116</v>
      </c>
      <c r="BN115" s="5">
        <v>1.0</v>
      </c>
      <c r="BO115" s="3" t="s">
        <v>211</v>
      </c>
      <c r="BP115" s="3"/>
      <c r="BQ115" s="3">
        <v>1.0</v>
      </c>
      <c r="BR115" s="3" t="s">
        <v>161</v>
      </c>
      <c r="BS115" s="5" t="s">
        <v>119</v>
      </c>
      <c r="BT115" s="5">
        <v>1.0</v>
      </c>
      <c r="BU115" s="3" t="s">
        <v>1608</v>
      </c>
      <c r="BV115" s="5" t="s">
        <v>121</v>
      </c>
      <c r="BW115" s="5">
        <v>0.5</v>
      </c>
      <c r="BX115" s="3" t="s">
        <v>1609</v>
      </c>
      <c r="BY115" s="5" t="s">
        <v>123</v>
      </c>
      <c r="BZ115" s="5">
        <v>0.5</v>
      </c>
      <c r="CA115" s="3" t="s">
        <v>97</v>
      </c>
      <c r="CB115" s="3" t="s">
        <v>1610</v>
      </c>
      <c r="CC115" s="3" t="s">
        <v>97</v>
      </c>
      <c r="CD115" s="3" t="s">
        <v>125</v>
      </c>
      <c r="CE115" s="3" t="s">
        <v>1611</v>
      </c>
      <c r="CF115" s="3" t="s">
        <v>97</v>
      </c>
      <c r="CG115" s="3" t="s">
        <v>1612</v>
      </c>
      <c r="CH115" s="3">
        <v>7.0</v>
      </c>
    </row>
    <row r="116" ht="14.25" customHeight="1">
      <c r="A116" s="3">
        <v>44738.2153280671</v>
      </c>
      <c r="B116" s="3" t="s">
        <v>149</v>
      </c>
      <c r="C116" s="3">
        <f t="shared" si="1"/>
        <v>0</v>
      </c>
      <c r="D116" s="3" t="s">
        <v>87</v>
      </c>
      <c r="E116" s="3" t="s">
        <v>88</v>
      </c>
      <c r="F116" s="3">
        <f t="shared" si="2"/>
        <v>1</v>
      </c>
      <c r="G116" s="3" t="s">
        <v>881</v>
      </c>
      <c r="H116" s="3" t="s">
        <v>1063</v>
      </c>
      <c r="I116" s="3">
        <v>4.0</v>
      </c>
      <c r="J116" s="3" t="s">
        <v>91</v>
      </c>
      <c r="K116" s="3">
        <f t="shared" si="3"/>
        <v>1</v>
      </c>
      <c r="L116" s="3" t="s">
        <v>133</v>
      </c>
      <c r="M116" s="3">
        <f t="shared" si="4"/>
        <v>0</v>
      </c>
      <c r="N116" s="4"/>
      <c r="O116" s="3" t="s">
        <v>766</v>
      </c>
      <c r="P116" s="3" t="s">
        <v>1494</v>
      </c>
      <c r="Q116" s="3">
        <v>0.0</v>
      </c>
      <c r="R116" s="3">
        <v>0.0</v>
      </c>
      <c r="S116" s="3">
        <v>1.0</v>
      </c>
      <c r="T116" s="3">
        <v>0.0</v>
      </c>
      <c r="U116" s="3">
        <v>0.0</v>
      </c>
      <c r="V116" s="3">
        <v>0.0</v>
      </c>
      <c r="W116" s="3">
        <v>0.0</v>
      </c>
      <c r="X116" s="3">
        <v>0.0</v>
      </c>
      <c r="Y116" s="3">
        <v>0.0</v>
      </c>
      <c r="Z116" s="3">
        <v>1.0</v>
      </c>
      <c r="AA116" s="3">
        <v>0.0</v>
      </c>
      <c r="AB116" s="3">
        <v>0.0</v>
      </c>
      <c r="AC116" s="3">
        <v>0.0</v>
      </c>
      <c r="AD116" s="3" t="s">
        <v>1613</v>
      </c>
      <c r="AE116" s="5" t="s">
        <v>96</v>
      </c>
      <c r="AF116" s="5">
        <v>0.5</v>
      </c>
      <c r="AG116" s="3" t="s">
        <v>97</v>
      </c>
      <c r="AH116" s="3">
        <v>1.0</v>
      </c>
      <c r="AI116" s="3" t="s">
        <v>1614</v>
      </c>
      <c r="AJ116" s="5" t="s">
        <v>99</v>
      </c>
      <c r="AK116" s="5">
        <v>1.0</v>
      </c>
      <c r="AL116" s="3" t="s">
        <v>1615</v>
      </c>
      <c r="AM116" s="5" t="s">
        <v>101</v>
      </c>
      <c r="AN116" s="5">
        <v>1.0</v>
      </c>
      <c r="AO116" s="3" t="s">
        <v>97</v>
      </c>
      <c r="AP116" s="3">
        <v>1.0</v>
      </c>
      <c r="AQ116" s="3" t="s">
        <v>1616</v>
      </c>
      <c r="AR116" s="5" t="s">
        <v>103</v>
      </c>
      <c r="AS116" s="3">
        <v>1.0</v>
      </c>
      <c r="AT116" s="3" t="s">
        <v>94</v>
      </c>
      <c r="AU116" s="5" t="s">
        <v>104</v>
      </c>
      <c r="AV116" s="5">
        <v>1.0</v>
      </c>
      <c r="AW116" s="3" t="s">
        <v>1617</v>
      </c>
      <c r="AX116" s="5" t="s">
        <v>106</v>
      </c>
      <c r="AY116" s="5">
        <v>0.0</v>
      </c>
      <c r="AZ116" s="3" t="s">
        <v>1618</v>
      </c>
      <c r="BA116" s="5" t="s">
        <v>108</v>
      </c>
      <c r="BB116" s="5">
        <v>0.5</v>
      </c>
      <c r="BC116" s="3" t="s">
        <v>109</v>
      </c>
      <c r="BD116" s="5" t="s">
        <v>110</v>
      </c>
      <c r="BE116" s="3">
        <v>1.0</v>
      </c>
      <c r="BF116" s="3" t="s">
        <v>1619</v>
      </c>
      <c r="BG116" s="5" t="s">
        <v>112</v>
      </c>
      <c r="BH116" s="5">
        <v>0.5</v>
      </c>
      <c r="BI116" s="3" t="s">
        <v>105</v>
      </c>
      <c r="BJ116" s="5" t="s">
        <v>114</v>
      </c>
      <c r="BK116" s="5">
        <v>1.0</v>
      </c>
      <c r="BL116" s="3" t="s">
        <v>115</v>
      </c>
      <c r="BM116" s="5" t="s">
        <v>116</v>
      </c>
      <c r="BN116" s="5">
        <v>1.0</v>
      </c>
      <c r="BO116" s="3" t="s">
        <v>117</v>
      </c>
      <c r="BP116" s="3"/>
      <c r="BQ116" s="3">
        <v>1.0</v>
      </c>
      <c r="BR116" s="3" t="s">
        <v>161</v>
      </c>
      <c r="BS116" s="5" t="s">
        <v>119</v>
      </c>
      <c r="BT116" s="5">
        <v>1.0</v>
      </c>
      <c r="BU116" s="3" t="s">
        <v>1620</v>
      </c>
      <c r="BV116" s="5" t="s">
        <v>121</v>
      </c>
      <c r="BW116" s="5">
        <v>0.25</v>
      </c>
      <c r="BX116" s="3" t="s">
        <v>1621</v>
      </c>
      <c r="BY116" s="5" t="s">
        <v>123</v>
      </c>
      <c r="BZ116" s="5">
        <v>0.5</v>
      </c>
      <c r="CA116" s="3" t="s">
        <v>97</v>
      </c>
      <c r="CB116" s="3" t="s">
        <v>1622</v>
      </c>
      <c r="CC116" s="3" t="s">
        <v>97</v>
      </c>
      <c r="CD116" s="3" t="s">
        <v>125</v>
      </c>
      <c r="CE116" s="3" t="s">
        <v>823</v>
      </c>
      <c r="CF116" s="3" t="s">
        <v>97</v>
      </c>
      <c r="CG116" s="3" t="s">
        <v>1623</v>
      </c>
      <c r="CH116" s="3">
        <v>7.0</v>
      </c>
    </row>
    <row r="117" ht="14.25" customHeight="1">
      <c r="A117" s="3">
        <v>44738.2622774306</v>
      </c>
      <c r="B117" s="3" t="s">
        <v>86</v>
      </c>
      <c r="C117" s="3">
        <f t="shared" si="1"/>
        <v>1</v>
      </c>
      <c r="D117" s="3" t="s">
        <v>87</v>
      </c>
      <c r="E117" s="3" t="s">
        <v>88</v>
      </c>
      <c r="F117" s="3">
        <f t="shared" si="2"/>
        <v>1</v>
      </c>
      <c r="G117" s="3" t="s">
        <v>791</v>
      </c>
      <c r="H117" s="3" t="s">
        <v>1063</v>
      </c>
      <c r="I117" s="3">
        <v>4.0</v>
      </c>
      <c r="J117" s="3" t="s">
        <v>91</v>
      </c>
      <c r="K117" s="3">
        <f t="shared" si="3"/>
        <v>1</v>
      </c>
      <c r="L117" s="3" t="s">
        <v>133</v>
      </c>
      <c r="M117" s="3">
        <f t="shared" si="4"/>
        <v>0</v>
      </c>
      <c r="N117" s="4"/>
      <c r="O117" s="3" t="s">
        <v>766</v>
      </c>
      <c r="P117" s="3" t="s">
        <v>753</v>
      </c>
      <c r="Q117" s="3">
        <v>0.0</v>
      </c>
      <c r="R117" s="3">
        <v>0.0</v>
      </c>
      <c r="S117" s="3">
        <v>0.0</v>
      </c>
      <c r="T117" s="3">
        <v>0.0</v>
      </c>
      <c r="U117" s="3">
        <v>0.0</v>
      </c>
      <c r="V117" s="3">
        <v>1.0</v>
      </c>
      <c r="W117" s="3">
        <v>0.0</v>
      </c>
      <c r="X117" s="3">
        <v>0.0</v>
      </c>
      <c r="Y117" s="3">
        <v>0.0</v>
      </c>
      <c r="Z117" s="3">
        <v>0.0</v>
      </c>
      <c r="AA117" s="3">
        <v>0.0</v>
      </c>
      <c r="AB117" s="3">
        <v>0.0</v>
      </c>
      <c r="AC117" s="3">
        <v>0.0</v>
      </c>
      <c r="AD117" s="3" t="s">
        <v>1624</v>
      </c>
      <c r="AE117" s="5" t="s">
        <v>96</v>
      </c>
      <c r="AF117" s="5">
        <v>0.75</v>
      </c>
      <c r="AG117" s="3" t="s">
        <v>97</v>
      </c>
      <c r="AH117" s="3">
        <v>1.0</v>
      </c>
      <c r="AI117" s="3" t="s">
        <v>1625</v>
      </c>
      <c r="AJ117" s="5" t="s">
        <v>99</v>
      </c>
      <c r="AK117" s="5">
        <v>1.0</v>
      </c>
      <c r="AL117" s="3" t="s">
        <v>1626</v>
      </c>
      <c r="AM117" s="5" t="s">
        <v>101</v>
      </c>
      <c r="AN117" s="5">
        <v>1.0</v>
      </c>
      <c r="AO117" s="3" t="s">
        <v>97</v>
      </c>
      <c r="AP117" s="3">
        <v>1.0</v>
      </c>
      <c r="AQ117" s="3" t="s">
        <v>1627</v>
      </c>
      <c r="AR117" s="5" t="s">
        <v>103</v>
      </c>
      <c r="AS117" s="3">
        <v>0.0</v>
      </c>
      <c r="AT117" s="3" t="s">
        <v>94</v>
      </c>
      <c r="AU117" s="5" t="s">
        <v>104</v>
      </c>
      <c r="AV117" s="5">
        <v>1.0</v>
      </c>
      <c r="AW117" s="3" t="s">
        <v>1628</v>
      </c>
      <c r="AX117" s="5" t="s">
        <v>106</v>
      </c>
      <c r="AY117" s="5">
        <v>0.5</v>
      </c>
      <c r="AZ117" s="3" t="s">
        <v>1629</v>
      </c>
      <c r="BA117" s="5" t="s">
        <v>108</v>
      </c>
      <c r="BB117" s="5">
        <v>1.0</v>
      </c>
      <c r="BC117" s="3" t="s">
        <v>109</v>
      </c>
      <c r="BD117" s="5" t="s">
        <v>110</v>
      </c>
      <c r="BE117" s="3">
        <v>1.0</v>
      </c>
      <c r="BF117" s="3" t="s">
        <v>1630</v>
      </c>
      <c r="BG117" s="5" t="s">
        <v>112</v>
      </c>
      <c r="BH117" s="5">
        <v>0.75</v>
      </c>
      <c r="BI117" s="3" t="s">
        <v>1631</v>
      </c>
      <c r="BJ117" s="5" t="s">
        <v>114</v>
      </c>
      <c r="BK117" s="5">
        <v>1.0</v>
      </c>
      <c r="BL117" s="3" t="s">
        <v>115</v>
      </c>
      <c r="BM117" s="5" t="s">
        <v>116</v>
      </c>
      <c r="BN117" s="5">
        <v>1.0</v>
      </c>
      <c r="BO117" s="3" t="s">
        <v>117</v>
      </c>
      <c r="BP117" s="3"/>
      <c r="BQ117" s="3">
        <v>1.0</v>
      </c>
      <c r="BR117" s="3" t="s">
        <v>161</v>
      </c>
      <c r="BS117" s="5" t="s">
        <v>119</v>
      </c>
      <c r="BT117" s="5">
        <v>1.0</v>
      </c>
      <c r="BU117" s="3" t="s">
        <v>1632</v>
      </c>
      <c r="BV117" s="5" t="s">
        <v>121</v>
      </c>
      <c r="BW117" s="5">
        <v>0.5</v>
      </c>
      <c r="BX117" s="3" t="s">
        <v>1633</v>
      </c>
      <c r="BY117" s="5" t="s">
        <v>123</v>
      </c>
      <c r="BZ117" s="5">
        <v>0.75</v>
      </c>
      <c r="CA117" s="3" t="s">
        <v>97</v>
      </c>
      <c r="CB117" s="3" t="s">
        <v>1634</v>
      </c>
      <c r="CC117" s="3" t="s">
        <v>97</v>
      </c>
      <c r="CD117" s="3" t="s">
        <v>125</v>
      </c>
      <c r="CE117" s="3" t="s">
        <v>1635</v>
      </c>
      <c r="CF117" s="3" t="s">
        <v>97</v>
      </c>
      <c r="CG117" s="3" t="s">
        <v>1636</v>
      </c>
      <c r="CH117" s="3">
        <v>4.0</v>
      </c>
    </row>
    <row r="118" ht="14.25" customHeight="1">
      <c r="A118" s="3">
        <v>44744.2722314236</v>
      </c>
      <c r="B118" s="3" t="s">
        <v>86</v>
      </c>
      <c r="C118" s="3">
        <f t="shared" si="1"/>
        <v>1</v>
      </c>
      <c r="D118" s="3" t="s">
        <v>87</v>
      </c>
      <c r="E118" s="3" t="s">
        <v>88</v>
      </c>
      <c r="F118" s="3">
        <f t="shared" si="2"/>
        <v>1</v>
      </c>
      <c r="G118" s="3" t="s">
        <v>791</v>
      </c>
      <c r="H118" s="3" t="s">
        <v>1063</v>
      </c>
      <c r="I118" s="3">
        <v>4.0</v>
      </c>
      <c r="J118" s="3" t="s">
        <v>91</v>
      </c>
      <c r="K118" s="3">
        <f t="shared" si="3"/>
        <v>1</v>
      </c>
      <c r="L118" s="3" t="s">
        <v>92</v>
      </c>
      <c r="M118" s="3">
        <f t="shared" si="4"/>
        <v>1</v>
      </c>
      <c r="N118" s="4"/>
      <c r="O118" s="3" t="s">
        <v>93</v>
      </c>
      <c r="P118" s="3" t="s">
        <v>94</v>
      </c>
      <c r="Q118" s="3">
        <v>0.0</v>
      </c>
      <c r="R118" s="3">
        <v>0.0</v>
      </c>
      <c r="S118" s="3">
        <v>0.0</v>
      </c>
      <c r="T118" s="3">
        <v>0.0</v>
      </c>
      <c r="U118" s="3">
        <v>0.0</v>
      </c>
      <c r="V118" s="3">
        <v>0.0</v>
      </c>
      <c r="W118" s="3">
        <v>0.0</v>
      </c>
      <c r="X118" s="3">
        <v>0.0</v>
      </c>
      <c r="Y118" s="3">
        <v>0.0</v>
      </c>
      <c r="Z118" s="3">
        <v>0.0</v>
      </c>
      <c r="AA118" s="3">
        <v>1.0</v>
      </c>
      <c r="AB118" s="3">
        <v>0.0</v>
      </c>
      <c r="AC118" s="3">
        <v>0.0</v>
      </c>
      <c r="AD118" s="3" t="s">
        <v>1637</v>
      </c>
      <c r="AE118" s="5" t="s">
        <v>96</v>
      </c>
      <c r="AF118" s="5">
        <v>0.5</v>
      </c>
      <c r="AG118" s="3" t="s">
        <v>97</v>
      </c>
      <c r="AH118" s="3">
        <v>1.0</v>
      </c>
      <c r="AI118" s="3" t="s">
        <v>1638</v>
      </c>
      <c r="AJ118" s="5" t="s">
        <v>99</v>
      </c>
      <c r="AK118" s="5">
        <v>1.0</v>
      </c>
      <c r="AL118" s="3" t="s">
        <v>1639</v>
      </c>
      <c r="AM118" s="5" t="s">
        <v>101</v>
      </c>
      <c r="AN118" s="5">
        <v>1.0</v>
      </c>
      <c r="AO118" s="3" t="s">
        <v>97</v>
      </c>
      <c r="AP118" s="3">
        <v>1.0</v>
      </c>
      <c r="AQ118" s="3" t="s">
        <v>1640</v>
      </c>
      <c r="AR118" s="5" t="s">
        <v>103</v>
      </c>
      <c r="AS118" s="3">
        <v>1.0</v>
      </c>
      <c r="AT118" s="3" t="s">
        <v>94</v>
      </c>
      <c r="AU118" s="5" t="s">
        <v>104</v>
      </c>
      <c r="AV118" s="5">
        <v>1.0</v>
      </c>
      <c r="AW118" s="3" t="s">
        <v>823</v>
      </c>
      <c r="AX118" s="5" t="s">
        <v>106</v>
      </c>
      <c r="AY118" s="5">
        <v>0.0</v>
      </c>
      <c r="AZ118" s="3" t="s">
        <v>1641</v>
      </c>
      <c r="BA118" s="5" t="s">
        <v>108</v>
      </c>
      <c r="BB118" s="5">
        <v>0.75</v>
      </c>
      <c r="BC118" s="3" t="s">
        <v>109</v>
      </c>
      <c r="BD118" s="5" t="s">
        <v>110</v>
      </c>
      <c r="BE118" s="3">
        <v>1.0</v>
      </c>
      <c r="BF118" s="3" t="s">
        <v>1642</v>
      </c>
      <c r="BG118" s="5" t="s">
        <v>112</v>
      </c>
      <c r="BH118" s="5">
        <v>0.5</v>
      </c>
      <c r="BI118" s="3" t="s">
        <v>1643</v>
      </c>
      <c r="BJ118" s="5" t="s">
        <v>114</v>
      </c>
      <c r="BK118" s="5">
        <v>1.0</v>
      </c>
      <c r="BL118" s="3" t="s">
        <v>1644</v>
      </c>
      <c r="BM118" s="5" t="s">
        <v>116</v>
      </c>
      <c r="BN118" s="5">
        <v>1.0</v>
      </c>
      <c r="BO118" s="3" t="s">
        <v>211</v>
      </c>
      <c r="BP118" s="3"/>
      <c r="BQ118" s="3">
        <v>1.0</v>
      </c>
      <c r="BR118" s="3" t="s">
        <v>118</v>
      </c>
      <c r="BS118" s="5" t="s">
        <v>119</v>
      </c>
      <c r="BT118" s="5">
        <v>0.5</v>
      </c>
      <c r="BU118" s="3" t="s">
        <v>1645</v>
      </c>
      <c r="BV118" s="5" t="s">
        <v>121</v>
      </c>
      <c r="BW118" s="5">
        <v>0.75</v>
      </c>
      <c r="BX118" s="3" t="s">
        <v>1646</v>
      </c>
      <c r="BY118" s="5" t="s">
        <v>123</v>
      </c>
      <c r="BZ118" s="5">
        <v>0.75</v>
      </c>
      <c r="CA118" s="3" t="s">
        <v>97</v>
      </c>
      <c r="CB118" s="3" t="s">
        <v>1647</v>
      </c>
      <c r="CC118" s="3" t="s">
        <v>97</v>
      </c>
      <c r="CD118" s="3" t="s">
        <v>125</v>
      </c>
      <c r="CE118" s="3" t="s">
        <v>1648</v>
      </c>
      <c r="CF118" s="3" t="s">
        <v>97</v>
      </c>
      <c r="CG118" s="3" t="s">
        <v>1649</v>
      </c>
      <c r="CH118" s="3">
        <v>7.0</v>
      </c>
    </row>
    <row r="119" ht="14.25" customHeight="1">
      <c r="A119" s="3">
        <v>44744.3398417824</v>
      </c>
      <c r="B119" s="3" t="s">
        <v>86</v>
      </c>
      <c r="C119" s="3">
        <f t="shared" si="1"/>
        <v>1</v>
      </c>
      <c r="D119" s="3" t="s">
        <v>169</v>
      </c>
      <c r="E119" s="3" t="s">
        <v>170</v>
      </c>
      <c r="F119" s="3">
        <f t="shared" si="2"/>
        <v>2</v>
      </c>
      <c r="G119" s="3" t="s">
        <v>130</v>
      </c>
      <c r="H119" s="3" t="s">
        <v>1650</v>
      </c>
      <c r="I119" s="3">
        <v>1.0</v>
      </c>
      <c r="J119" s="3" t="s">
        <v>91</v>
      </c>
      <c r="K119" s="3">
        <f t="shared" si="3"/>
        <v>1</v>
      </c>
      <c r="L119" s="3" t="s">
        <v>133</v>
      </c>
      <c r="M119" s="3">
        <f t="shared" si="4"/>
        <v>0</v>
      </c>
      <c r="N119" s="4"/>
      <c r="O119" s="3" t="s">
        <v>93</v>
      </c>
      <c r="P119" s="3" t="s">
        <v>380</v>
      </c>
      <c r="Q119" s="3">
        <v>1.0</v>
      </c>
      <c r="R119" s="3">
        <v>0.0</v>
      </c>
      <c r="S119" s="3">
        <v>0.0</v>
      </c>
      <c r="T119" s="3">
        <v>0.0</v>
      </c>
      <c r="U119" s="3">
        <v>0.0</v>
      </c>
      <c r="V119" s="3">
        <v>0.0</v>
      </c>
      <c r="W119" s="3">
        <v>0.0</v>
      </c>
      <c r="X119" s="3">
        <v>0.0</v>
      </c>
      <c r="Y119" s="3">
        <v>0.0</v>
      </c>
      <c r="Z119" s="3">
        <v>1.0</v>
      </c>
      <c r="AA119" s="3">
        <v>0.0</v>
      </c>
      <c r="AB119" s="3">
        <v>0.0</v>
      </c>
      <c r="AC119" s="3">
        <v>0.0</v>
      </c>
      <c r="AD119" s="3" t="s">
        <v>1651</v>
      </c>
      <c r="AE119" s="5" t="s">
        <v>96</v>
      </c>
      <c r="AF119" s="5">
        <v>0.25</v>
      </c>
      <c r="AG119" s="3" t="s">
        <v>97</v>
      </c>
      <c r="AH119" s="3">
        <v>1.0</v>
      </c>
      <c r="AI119" s="3" t="s">
        <v>1652</v>
      </c>
      <c r="AJ119" s="5" t="s">
        <v>99</v>
      </c>
      <c r="AK119" s="5">
        <v>1.0</v>
      </c>
      <c r="AL119" s="3" t="s">
        <v>1653</v>
      </c>
      <c r="AM119" s="5" t="s">
        <v>101</v>
      </c>
      <c r="AN119" s="5">
        <v>0.75</v>
      </c>
      <c r="AO119" s="3" t="s">
        <v>97</v>
      </c>
      <c r="AP119" s="3">
        <v>1.0</v>
      </c>
      <c r="AQ119" s="3" t="s">
        <v>1654</v>
      </c>
      <c r="AR119" s="5" t="s">
        <v>103</v>
      </c>
      <c r="AS119" s="3">
        <v>1.0</v>
      </c>
      <c r="AT119" s="3" t="s">
        <v>94</v>
      </c>
      <c r="AU119" s="5" t="s">
        <v>104</v>
      </c>
      <c r="AV119" s="5">
        <v>1.0</v>
      </c>
      <c r="AW119" s="3" t="s">
        <v>105</v>
      </c>
      <c r="AX119" s="5" t="s">
        <v>106</v>
      </c>
      <c r="AY119" s="5">
        <v>0.0</v>
      </c>
      <c r="AZ119" s="3" t="s">
        <v>1655</v>
      </c>
      <c r="BA119" s="5" t="s">
        <v>108</v>
      </c>
      <c r="BB119" s="5">
        <v>1.0</v>
      </c>
      <c r="BC119" s="3" t="s">
        <v>1656</v>
      </c>
      <c r="BD119" s="5" t="s">
        <v>110</v>
      </c>
      <c r="BE119" s="3">
        <v>1.0</v>
      </c>
      <c r="BF119" s="3" t="s">
        <v>1657</v>
      </c>
      <c r="BG119" s="5" t="s">
        <v>112</v>
      </c>
      <c r="BH119" s="5">
        <v>0.5</v>
      </c>
      <c r="BI119" s="3" t="s">
        <v>1658</v>
      </c>
      <c r="BJ119" s="5" t="s">
        <v>114</v>
      </c>
      <c r="BK119" s="5">
        <v>1.0</v>
      </c>
      <c r="BL119" s="3" t="s">
        <v>115</v>
      </c>
      <c r="BM119" s="5" t="s">
        <v>116</v>
      </c>
      <c r="BN119" s="5">
        <v>1.0</v>
      </c>
      <c r="BO119" s="3" t="s">
        <v>117</v>
      </c>
      <c r="BP119" s="3"/>
      <c r="BQ119" s="3">
        <v>1.0</v>
      </c>
      <c r="BR119" s="3" t="s">
        <v>311</v>
      </c>
      <c r="BS119" s="5" t="s">
        <v>119</v>
      </c>
      <c r="BT119" s="5">
        <v>0.5</v>
      </c>
      <c r="BU119" s="3" t="s">
        <v>1659</v>
      </c>
      <c r="BV119" s="5" t="s">
        <v>121</v>
      </c>
      <c r="BW119" s="5">
        <v>0.25</v>
      </c>
      <c r="BX119" s="3" t="s">
        <v>1660</v>
      </c>
      <c r="BY119" s="5" t="s">
        <v>123</v>
      </c>
      <c r="BZ119" s="5">
        <v>0.5</v>
      </c>
      <c r="CA119" s="3" t="s">
        <v>167</v>
      </c>
      <c r="CB119" s="3" t="s">
        <v>823</v>
      </c>
      <c r="CC119" s="3" t="s">
        <v>167</v>
      </c>
      <c r="CD119" s="3" t="s">
        <v>125</v>
      </c>
      <c r="CE119" s="3" t="s">
        <v>1661</v>
      </c>
      <c r="CF119" s="3" t="s">
        <v>97</v>
      </c>
      <c r="CG119" s="3" t="s">
        <v>1662</v>
      </c>
      <c r="CH119" s="3">
        <v>7.0</v>
      </c>
    </row>
    <row r="120" ht="14.25" customHeight="1">
      <c r="A120" s="3">
        <v>44749.9026381366</v>
      </c>
      <c r="B120" s="3" t="s">
        <v>86</v>
      </c>
      <c r="C120" s="3">
        <f t="shared" si="1"/>
        <v>1</v>
      </c>
      <c r="D120" s="3" t="s">
        <v>128</v>
      </c>
      <c r="E120" s="3" t="s">
        <v>129</v>
      </c>
      <c r="F120" s="3">
        <f t="shared" si="2"/>
        <v>3</v>
      </c>
      <c r="G120" s="3" t="s">
        <v>130</v>
      </c>
      <c r="H120" s="3" t="s">
        <v>151</v>
      </c>
      <c r="I120" s="3">
        <v>2.0</v>
      </c>
      <c r="J120" s="3" t="s">
        <v>317</v>
      </c>
      <c r="K120" s="3">
        <f t="shared" si="3"/>
        <v>2</v>
      </c>
      <c r="L120" s="3" t="s">
        <v>92</v>
      </c>
      <c r="M120" s="3">
        <f t="shared" si="4"/>
        <v>1</v>
      </c>
      <c r="N120" s="4"/>
      <c r="O120" s="3" t="s">
        <v>766</v>
      </c>
      <c r="P120" s="3" t="s">
        <v>318</v>
      </c>
      <c r="Q120" s="3">
        <v>1.0</v>
      </c>
      <c r="R120" s="3">
        <v>0.0</v>
      </c>
      <c r="S120" s="3">
        <v>0.0</v>
      </c>
      <c r="T120" s="3">
        <v>0.0</v>
      </c>
      <c r="U120" s="3">
        <v>0.0</v>
      </c>
      <c r="V120" s="3">
        <v>0.0</v>
      </c>
      <c r="W120" s="3">
        <v>1.0</v>
      </c>
      <c r="X120" s="3">
        <v>0.0</v>
      </c>
      <c r="Y120" s="3">
        <v>0.0</v>
      </c>
      <c r="Z120" s="3">
        <v>0.0</v>
      </c>
      <c r="AA120" s="3">
        <v>0.0</v>
      </c>
      <c r="AB120" s="3">
        <v>0.0</v>
      </c>
      <c r="AC120" s="3">
        <v>0.0</v>
      </c>
      <c r="AD120" s="3" t="s">
        <v>1663</v>
      </c>
      <c r="AE120" s="5" t="s">
        <v>96</v>
      </c>
      <c r="AF120" s="5">
        <v>0.25</v>
      </c>
      <c r="AG120" s="3" t="s">
        <v>97</v>
      </c>
      <c r="AH120" s="3">
        <v>1.0</v>
      </c>
      <c r="AI120" s="3" t="s">
        <v>1664</v>
      </c>
      <c r="AJ120" s="5" t="s">
        <v>99</v>
      </c>
      <c r="AK120" s="5">
        <v>1.0</v>
      </c>
      <c r="AL120" s="3" t="s">
        <v>1665</v>
      </c>
      <c r="AM120" s="5" t="s">
        <v>101</v>
      </c>
      <c r="AN120" s="5">
        <v>0.5</v>
      </c>
      <c r="AO120" s="3" t="s">
        <v>97</v>
      </c>
      <c r="AP120" s="3">
        <v>1.0</v>
      </c>
      <c r="AQ120" s="3" t="s">
        <v>1666</v>
      </c>
      <c r="AR120" s="5" t="s">
        <v>103</v>
      </c>
      <c r="AS120" s="3">
        <v>1.0</v>
      </c>
      <c r="AT120" s="3" t="s">
        <v>1667</v>
      </c>
      <c r="AU120" s="5" t="s">
        <v>104</v>
      </c>
      <c r="AV120" s="5">
        <v>1.0</v>
      </c>
      <c r="AW120" s="3" t="s">
        <v>1668</v>
      </c>
      <c r="AX120" s="5" t="s">
        <v>106</v>
      </c>
      <c r="AY120" s="5">
        <v>0.5</v>
      </c>
      <c r="AZ120" s="3" t="s">
        <v>1669</v>
      </c>
      <c r="BA120" s="5" t="s">
        <v>108</v>
      </c>
      <c r="BB120" s="5">
        <v>0.25</v>
      </c>
      <c r="BC120" s="3" t="s">
        <v>109</v>
      </c>
      <c r="BD120" s="5" t="s">
        <v>110</v>
      </c>
      <c r="BE120" s="3">
        <v>1.0</v>
      </c>
      <c r="BF120" s="3" t="s">
        <v>1670</v>
      </c>
      <c r="BG120" s="5" t="s">
        <v>112</v>
      </c>
      <c r="BH120" s="5">
        <v>0.5</v>
      </c>
      <c r="BI120" s="3" t="s">
        <v>1671</v>
      </c>
      <c r="BJ120" s="5" t="s">
        <v>114</v>
      </c>
      <c r="BK120" s="5">
        <v>1.0</v>
      </c>
      <c r="BL120" s="3" t="s">
        <v>115</v>
      </c>
      <c r="BM120" s="5" t="s">
        <v>116</v>
      </c>
      <c r="BN120" s="5">
        <v>0.0</v>
      </c>
      <c r="BO120" s="3" t="s">
        <v>117</v>
      </c>
      <c r="BP120" s="3"/>
      <c r="BQ120" s="3">
        <v>1.0</v>
      </c>
      <c r="BR120" s="3" t="s">
        <v>161</v>
      </c>
      <c r="BS120" s="5" t="s">
        <v>119</v>
      </c>
      <c r="BT120" s="5">
        <v>1.0</v>
      </c>
      <c r="BU120" s="3" t="s">
        <v>1672</v>
      </c>
      <c r="BV120" s="5" t="s">
        <v>121</v>
      </c>
      <c r="BW120" s="5">
        <v>0.5</v>
      </c>
      <c r="BX120" s="3" t="s">
        <v>1673</v>
      </c>
      <c r="BY120" s="5" t="s">
        <v>123</v>
      </c>
      <c r="BZ120" s="5">
        <v>0.5</v>
      </c>
      <c r="CA120" s="3" t="s">
        <v>97</v>
      </c>
      <c r="CB120" s="3" t="s">
        <v>1674</v>
      </c>
      <c r="CC120" s="3" t="s">
        <v>97</v>
      </c>
      <c r="CD120" s="3" t="s">
        <v>1675</v>
      </c>
      <c r="CE120" s="3" t="s">
        <v>1676</v>
      </c>
      <c r="CF120" s="3" t="s">
        <v>97</v>
      </c>
      <c r="CG120" s="3" t="s">
        <v>1677</v>
      </c>
      <c r="CH120" s="3">
        <v>6.0</v>
      </c>
    </row>
    <row r="121" ht="14.25" customHeight="1">
      <c r="A121" s="3">
        <v>44749.9295476852</v>
      </c>
      <c r="B121" s="3" t="s">
        <v>86</v>
      </c>
      <c r="C121" s="3">
        <f t="shared" si="1"/>
        <v>1</v>
      </c>
      <c r="D121" s="3" t="s">
        <v>169</v>
      </c>
      <c r="E121" s="3" t="s">
        <v>170</v>
      </c>
      <c r="F121" s="3">
        <f t="shared" si="2"/>
        <v>2</v>
      </c>
      <c r="G121" s="3" t="s">
        <v>130</v>
      </c>
      <c r="H121" s="3" t="s">
        <v>1678</v>
      </c>
      <c r="I121" s="3">
        <v>4.0</v>
      </c>
      <c r="J121" s="3" t="s">
        <v>317</v>
      </c>
      <c r="K121" s="3">
        <f t="shared" si="3"/>
        <v>2</v>
      </c>
      <c r="L121" s="3" t="s">
        <v>92</v>
      </c>
      <c r="M121" s="3">
        <f t="shared" si="4"/>
        <v>1</v>
      </c>
      <c r="N121" s="4"/>
      <c r="O121" s="3" t="s">
        <v>766</v>
      </c>
      <c r="P121" s="3" t="s">
        <v>1679</v>
      </c>
      <c r="Q121" s="3">
        <v>1.0</v>
      </c>
      <c r="R121" s="3">
        <v>1.0</v>
      </c>
      <c r="S121" s="3">
        <v>1.0</v>
      </c>
      <c r="T121" s="3">
        <v>0.0</v>
      </c>
      <c r="U121" s="3">
        <v>0.0</v>
      </c>
      <c r="V121" s="3">
        <v>1.0</v>
      </c>
      <c r="W121" s="3">
        <v>0.0</v>
      </c>
      <c r="X121" s="3">
        <v>1.0</v>
      </c>
      <c r="Y121" s="3">
        <v>0.0</v>
      </c>
      <c r="Z121" s="3">
        <v>1.0</v>
      </c>
      <c r="AA121" s="3">
        <v>0.0</v>
      </c>
      <c r="AB121" s="3">
        <v>0.0</v>
      </c>
      <c r="AC121" s="3">
        <v>0.0</v>
      </c>
      <c r="AD121" s="3" t="s">
        <v>1680</v>
      </c>
      <c r="AE121" s="5" t="s">
        <v>96</v>
      </c>
      <c r="AF121" s="5">
        <v>0.25</v>
      </c>
      <c r="AG121" s="3" t="s">
        <v>97</v>
      </c>
      <c r="AH121" s="3">
        <v>1.0</v>
      </c>
      <c r="AI121" s="3" t="s">
        <v>1681</v>
      </c>
      <c r="AJ121" s="5" t="s">
        <v>99</v>
      </c>
      <c r="AK121" s="5">
        <v>1.0</v>
      </c>
      <c r="AL121" s="3" t="s">
        <v>1682</v>
      </c>
      <c r="AM121" s="5" t="s">
        <v>101</v>
      </c>
      <c r="AN121" s="5">
        <v>1.0</v>
      </c>
      <c r="AO121" s="3" t="s">
        <v>97</v>
      </c>
      <c r="AP121" s="3">
        <v>1.0</v>
      </c>
      <c r="AQ121" s="3" t="s">
        <v>1683</v>
      </c>
      <c r="AR121" s="5" t="s">
        <v>103</v>
      </c>
      <c r="AS121" s="3">
        <v>1.0</v>
      </c>
      <c r="AT121" s="3" t="s">
        <v>1667</v>
      </c>
      <c r="AU121" s="5" t="s">
        <v>104</v>
      </c>
      <c r="AV121" s="5">
        <v>1.0</v>
      </c>
      <c r="AW121" s="3" t="s">
        <v>1684</v>
      </c>
      <c r="AX121" s="5" t="s">
        <v>106</v>
      </c>
      <c r="AY121" s="5">
        <v>0.5</v>
      </c>
      <c r="AZ121" s="3" t="s">
        <v>1685</v>
      </c>
      <c r="BA121" s="5" t="s">
        <v>108</v>
      </c>
      <c r="BB121" s="5">
        <v>1.0</v>
      </c>
      <c r="BC121" s="3" t="s">
        <v>109</v>
      </c>
      <c r="BD121" s="5" t="s">
        <v>110</v>
      </c>
      <c r="BE121" s="3">
        <v>1.0</v>
      </c>
      <c r="BF121" s="3" t="s">
        <v>1686</v>
      </c>
      <c r="BG121" s="5" t="s">
        <v>112</v>
      </c>
      <c r="BH121" s="5">
        <v>0.5</v>
      </c>
      <c r="BI121" s="3" t="s">
        <v>105</v>
      </c>
      <c r="BJ121" s="5" t="s">
        <v>114</v>
      </c>
      <c r="BK121" s="5">
        <v>0.5</v>
      </c>
      <c r="BL121" s="3" t="s">
        <v>1542</v>
      </c>
      <c r="BM121" s="5" t="s">
        <v>116</v>
      </c>
      <c r="BN121" s="5">
        <v>1.0</v>
      </c>
      <c r="BO121" s="3" t="s">
        <v>211</v>
      </c>
      <c r="BP121" s="3"/>
      <c r="BQ121" s="3">
        <v>1.0</v>
      </c>
      <c r="BR121" s="3" t="s">
        <v>161</v>
      </c>
      <c r="BS121" s="5" t="s">
        <v>119</v>
      </c>
      <c r="BT121" s="5">
        <v>1.0</v>
      </c>
      <c r="BU121" s="3" t="s">
        <v>1687</v>
      </c>
      <c r="BV121" s="5" t="s">
        <v>121</v>
      </c>
      <c r="BW121" s="5">
        <v>0.5</v>
      </c>
      <c r="BX121" s="3" t="s">
        <v>1688</v>
      </c>
      <c r="BY121" s="5" t="s">
        <v>123</v>
      </c>
      <c r="BZ121" s="5">
        <v>0.5</v>
      </c>
      <c r="CA121" s="3" t="s">
        <v>97</v>
      </c>
      <c r="CB121" s="3" t="s">
        <v>1689</v>
      </c>
      <c r="CC121" s="3" t="s">
        <v>97</v>
      </c>
      <c r="CD121" s="3" t="s">
        <v>1675</v>
      </c>
      <c r="CE121" s="3" t="s">
        <v>1690</v>
      </c>
      <c r="CF121" s="3" t="s">
        <v>97</v>
      </c>
      <c r="CG121" s="3" t="s">
        <v>1691</v>
      </c>
      <c r="CH121" s="3">
        <v>6.0</v>
      </c>
    </row>
    <row r="122" ht="14.25" customHeight="1">
      <c r="A122" s="3">
        <v>44749.9668493519</v>
      </c>
      <c r="B122" s="3" t="s">
        <v>86</v>
      </c>
      <c r="C122" s="3">
        <f t="shared" si="1"/>
        <v>1</v>
      </c>
      <c r="D122" s="3" t="s">
        <v>169</v>
      </c>
      <c r="E122" s="3" t="s">
        <v>170</v>
      </c>
      <c r="F122" s="3">
        <f t="shared" si="2"/>
        <v>2</v>
      </c>
      <c r="G122" s="3" t="s">
        <v>1692</v>
      </c>
      <c r="H122" s="3" t="s">
        <v>1693</v>
      </c>
      <c r="I122" s="3">
        <v>4.0</v>
      </c>
      <c r="J122" s="3" t="s">
        <v>317</v>
      </c>
      <c r="K122" s="3">
        <f t="shared" si="3"/>
        <v>2</v>
      </c>
      <c r="L122" s="3" t="s">
        <v>92</v>
      </c>
      <c r="M122" s="3">
        <f t="shared" si="4"/>
        <v>1</v>
      </c>
      <c r="N122" s="4"/>
      <c r="O122" s="3" t="s">
        <v>766</v>
      </c>
      <c r="P122" s="3" t="s">
        <v>94</v>
      </c>
      <c r="Q122" s="3">
        <v>0.0</v>
      </c>
      <c r="R122" s="3">
        <v>0.0</v>
      </c>
      <c r="S122" s="3">
        <v>0.0</v>
      </c>
      <c r="T122" s="3">
        <v>0.0</v>
      </c>
      <c r="U122" s="3">
        <v>0.0</v>
      </c>
      <c r="V122" s="3">
        <v>0.0</v>
      </c>
      <c r="W122" s="3">
        <v>0.0</v>
      </c>
      <c r="X122" s="3">
        <v>0.0</v>
      </c>
      <c r="Y122" s="3">
        <v>0.0</v>
      </c>
      <c r="Z122" s="3">
        <v>0.0</v>
      </c>
      <c r="AA122" s="3">
        <v>1.0</v>
      </c>
      <c r="AB122" s="3">
        <v>0.0</v>
      </c>
      <c r="AC122" s="3">
        <v>0.0</v>
      </c>
      <c r="AD122" s="3" t="s">
        <v>1694</v>
      </c>
      <c r="AE122" s="5" t="s">
        <v>96</v>
      </c>
      <c r="AF122" s="5">
        <v>0.5</v>
      </c>
      <c r="AG122" s="3" t="s">
        <v>97</v>
      </c>
      <c r="AH122" s="3">
        <v>1.0</v>
      </c>
      <c r="AI122" s="3" t="s">
        <v>1695</v>
      </c>
      <c r="AJ122" s="5" t="s">
        <v>99</v>
      </c>
      <c r="AK122" s="5">
        <v>1.0</v>
      </c>
      <c r="AL122" s="3" t="s">
        <v>1696</v>
      </c>
      <c r="AM122" s="5" t="s">
        <v>101</v>
      </c>
      <c r="AN122" s="5">
        <v>1.0</v>
      </c>
      <c r="AO122" s="3" t="s">
        <v>97</v>
      </c>
      <c r="AP122" s="3">
        <v>1.0</v>
      </c>
      <c r="AQ122" s="3" t="s">
        <v>1697</v>
      </c>
      <c r="AR122" s="5" t="s">
        <v>103</v>
      </c>
      <c r="AS122" s="3">
        <v>1.0</v>
      </c>
      <c r="AT122" s="3" t="s">
        <v>94</v>
      </c>
      <c r="AU122" s="5" t="s">
        <v>104</v>
      </c>
      <c r="AV122" s="5">
        <v>1.0</v>
      </c>
      <c r="AW122" s="3" t="s">
        <v>105</v>
      </c>
      <c r="AX122" s="5" t="s">
        <v>106</v>
      </c>
      <c r="AY122" s="5">
        <v>0.0</v>
      </c>
      <c r="AZ122" s="3" t="s">
        <v>1698</v>
      </c>
      <c r="BA122" s="5" t="s">
        <v>108</v>
      </c>
      <c r="BB122" s="5">
        <v>0.5</v>
      </c>
      <c r="BC122" s="3" t="s">
        <v>109</v>
      </c>
      <c r="BD122" s="5" t="s">
        <v>110</v>
      </c>
      <c r="BE122" s="3">
        <v>1.0</v>
      </c>
      <c r="BF122" s="3" t="s">
        <v>1699</v>
      </c>
      <c r="BG122" s="5" t="s">
        <v>112</v>
      </c>
      <c r="BH122" s="5">
        <v>0.5</v>
      </c>
      <c r="BI122" s="3" t="s">
        <v>105</v>
      </c>
      <c r="BJ122" s="5" t="s">
        <v>114</v>
      </c>
      <c r="BK122" s="5">
        <v>1.0</v>
      </c>
      <c r="BL122" s="3" t="s">
        <v>115</v>
      </c>
      <c r="BM122" s="5" t="s">
        <v>116</v>
      </c>
      <c r="BN122" s="5">
        <v>1.0</v>
      </c>
      <c r="BO122" s="3" t="s">
        <v>117</v>
      </c>
      <c r="BP122" s="3"/>
      <c r="BQ122" s="3">
        <v>1.0</v>
      </c>
      <c r="BR122" s="3" t="s">
        <v>311</v>
      </c>
      <c r="BS122" s="5" t="s">
        <v>119</v>
      </c>
      <c r="BT122" s="5">
        <v>0.5</v>
      </c>
      <c r="BU122" s="3" t="s">
        <v>1700</v>
      </c>
      <c r="BV122" s="5" t="s">
        <v>121</v>
      </c>
      <c r="BW122" s="5">
        <v>0.5</v>
      </c>
      <c r="BX122" s="3" t="s">
        <v>1701</v>
      </c>
      <c r="BY122" s="5" t="s">
        <v>123</v>
      </c>
      <c r="BZ122" s="5">
        <v>0.75</v>
      </c>
      <c r="CA122" s="3" t="s">
        <v>97</v>
      </c>
      <c r="CB122" s="3" t="s">
        <v>1702</v>
      </c>
      <c r="CC122" s="3" t="s">
        <v>97</v>
      </c>
      <c r="CD122" s="3" t="s">
        <v>125</v>
      </c>
      <c r="CE122" s="3" t="s">
        <v>1703</v>
      </c>
      <c r="CF122" s="3" t="s">
        <v>97</v>
      </c>
      <c r="CG122" s="3" t="s">
        <v>1704</v>
      </c>
      <c r="CH122" s="3">
        <v>7.0</v>
      </c>
    </row>
    <row r="123" ht="14.25" customHeight="1">
      <c r="A123" s="3">
        <v>44749.9967483333</v>
      </c>
      <c r="B123" s="3" t="s">
        <v>149</v>
      </c>
      <c r="C123" s="3">
        <f t="shared" si="1"/>
        <v>0</v>
      </c>
      <c r="D123" s="3" t="s">
        <v>87</v>
      </c>
      <c r="E123" s="3" t="s">
        <v>88</v>
      </c>
      <c r="F123" s="3">
        <f t="shared" si="2"/>
        <v>1</v>
      </c>
      <c r="G123" s="3" t="s">
        <v>881</v>
      </c>
      <c r="H123" s="3" t="s">
        <v>1705</v>
      </c>
      <c r="I123" s="3">
        <v>3.0</v>
      </c>
      <c r="J123" s="3" t="s">
        <v>91</v>
      </c>
      <c r="K123" s="3">
        <f t="shared" si="3"/>
        <v>1</v>
      </c>
      <c r="L123" s="3" t="s">
        <v>92</v>
      </c>
      <c r="M123" s="3">
        <f t="shared" si="4"/>
        <v>1</v>
      </c>
      <c r="N123" s="4"/>
      <c r="O123" s="3" t="s">
        <v>766</v>
      </c>
      <c r="P123" s="3" t="s">
        <v>725</v>
      </c>
      <c r="Q123" s="3">
        <v>1.0</v>
      </c>
      <c r="R123" s="3">
        <v>0.0</v>
      </c>
      <c r="S123" s="3">
        <v>0.0</v>
      </c>
      <c r="T123" s="3">
        <v>0.0</v>
      </c>
      <c r="U123" s="3">
        <v>0.0</v>
      </c>
      <c r="V123" s="3">
        <v>1.0</v>
      </c>
      <c r="W123" s="3">
        <v>0.0</v>
      </c>
      <c r="X123" s="3">
        <v>0.0</v>
      </c>
      <c r="Y123" s="3">
        <v>0.0</v>
      </c>
      <c r="Z123" s="3">
        <v>0.0</v>
      </c>
      <c r="AA123" s="3">
        <v>0.0</v>
      </c>
      <c r="AB123" s="3">
        <v>0.0</v>
      </c>
      <c r="AC123" s="3">
        <v>0.0</v>
      </c>
      <c r="AD123" s="3" t="s">
        <v>1706</v>
      </c>
      <c r="AE123" s="5" t="s">
        <v>96</v>
      </c>
      <c r="AF123" s="5">
        <v>0.25</v>
      </c>
      <c r="AG123" s="3" t="s">
        <v>97</v>
      </c>
      <c r="AH123" s="3">
        <v>1.0</v>
      </c>
      <c r="AI123" s="3" t="s">
        <v>1707</v>
      </c>
      <c r="AJ123" s="5" t="s">
        <v>99</v>
      </c>
      <c r="AK123" s="5">
        <v>0.0</v>
      </c>
      <c r="AL123" s="3" t="s">
        <v>1708</v>
      </c>
      <c r="AM123" s="5" t="s">
        <v>101</v>
      </c>
      <c r="AN123" s="5">
        <v>0.75</v>
      </c>
      <c r="AO123" s="3" t="s">
        <v>97</v>
      </c>
      <c r="AP123" s="3">
        <v>1.0</v>
      </c>
      <c r="AQ123" s="3" t="s">
        <v>1709</v>
      </c>
      <c r="AR123" s="5" t="s">
        <v>103</v>
      </c>
      <c r="AS123" s="3">
        <v>1.0</v>
      </c>
      <c r="AT123" s="3" t="s">
        <v>27</v>
      </c>
      <c r="AU123" s="5" t="s">
        <v>104</v>
      </c>
      <c r="AV123" s="5">
        <v>0.0</v>
      </c>
      <c r="AW123" s="3" t="s">
        <v>105</v>
      </c>
      <c r="AX123" s="5" t="s">
        <v>106</v>
      </c>
      <c r="AY123" s="5">
        <v>0.0</v>
      </c>
      <c r="AZ123" s="3" t="s">
        <v>1710</v>
      </c>
      <c r="BA123" s="5" t="s">
        <v>108</v>
      </c>
      <c r="BB123" s="5">
        <v>1.0</v>
      </c>
      <c r="BC123" s="3" t="s">
        <v>109</v>
      </c>
      <c r="BD123" s="5" t="s">
        <v>110</v>
      </c>
      <c r="BE123" s="3">
        <v>1.0</v>
      </c>
      <c r="BF123" s="3" t="s">
        <v>1711</v>
      </c>
      <c r="BG123" s="5" t="s">
        <v>112</v>
      </c>
      <c r="BH123" s="5">
        <v>0.75</v>
      </c>
      <c r="BI123" s="3" t="s">
        <v>1712</v>
      </c>
      <c r="BJ123" s="5" t="s">
        <v>114</v>
      </c>
      <c r="BK123" s="5">
        <v>1.0</v>
      </c>
      <c r="BL123" s="3" t="s">
        <v>1713</v>
      </c>
      <c r="BM123" s="5" t="s">
        <v>116</v>
      </c>
      <c r="BN123" s="5">
        <v>0.5</v>
      </c>
      <c r="BO123" s="3" t="s">
        <v>117</v>
      </c>
      <c r="BP123" s="3"/>
      <c r="BQ123" s="3">
        <v>1.0</v>
      </c>
      <c r="BR123" s="3" t="s">
        <v>161</v>
      </c>
      <c r="BS123" s="5" t="s">
        <v>119</v>
      </c>
      <c r="BT123" s="5">
        <v>1.0</v>
      </c>
      <c r="BU123" s="3" t="s">
        <v>1714</v>
      </c>
      <c r="BV123" s="5" t="s">
        <v>121</v>
      </c>
      <c r="BW123" s="5">
        <v>0.25</v>
      </c>
      <c r="BX123" s="3" t="s">
        <v>1715</v>
      </c>
      <c r="BY123" s="5" t="s">
        <v>123</v>
      </c>
      <c r="BZ123" s="5">
        <v>0.75</v>
      </c>
      <c r="CA123" s="3" t="s">
        <v>97</v>
      </c>
      <c r="CB123" s="3" t="s">
        <v>1716</v>
      </c>
      <c r="CC123" s="3" t="s">
        <v>97</v>
      </c>
      <c r="CD123" s="3" t="s">
        <v>125</v>
      </c>
      <c r="CE123" s="3" t="s">
        <v>1717</v>
      </c>
      <c r="CF123" s="3" t="s">
        <v>97</v>
      </c>
      <c r="CG123" s="3" t="s">
        <v>1718</v>
      </c>
      <c r="CH123" s="3">
        <v>5.0</v>
      </c>
    </row>
    <row r="124" ht="14.25" customHeight="1">
      <c r="A124" s="3">
        <v>44750.0137991551</v>
      </c>
      <c r="B124" s="3" t="s">
        <v>149</v>
      </c>
      <c r="C124" s="3">
        <f t="shared" si="1"/>
        <v>0</v>
      </c>
      <c r="D124" s="3" t="s">
        <v>393</v>
      </c>
      <c r="E124" s="3" t="s">
        <v>394</v>
      </c>
      <c r="F124" s="3">
        <f t="shared" si="2"/>
        <v>0</v>
      </c>
      <c r="G124" s="3" t="s">
        <v>791</v>
      </c>
      <c r="H124" s="3" t="s">
        <v>609</v>
      </c>
      <c r="I124" s="3">
        <v>2.0</v>
      </c>
      <c r="J124" s="3" t="s">
        <v>317</v>
      </c>
      <c r="K124" s="3">
        <f t="shared" si="3"/>
        <v>2</v>
      </c>
      <c r="L124" s="3" t="s">
        <v>92</v>
      </c>
      <c r="M124" s="3">
        <f t="shared" si="4"/>
        <v>1</v>
      </c>
      <c r="N124" s="4"/>
      <c r="O124" s="3" t="s">
        <v>766</v>
      </c>
      <c r="P124" s="3" t="s">
        <v>1719</v>
      </c>
      <c r="Q124" s="3">
        <v>0.0</v>
      </c>
      <c r="R124" s="3">
        <v>1.0</v>
      </c>
      <c r="S124" s="3">
        <v>0.0</v>
      </c>
      <c r="T124" s="3">
        <v>1.0</v>
      </c>
      <c r="U124" s="3">
        <v>1.0</v>
      </c>
      <c r="V124" s="3">
        <v>1.0</v>
      </c>
      <c r="W124" s="3">
        <v>0.0</v>
      </c>
      <c r="X124" s="3">
        <v>0.0</v>
      </c>
      <c r="Y124" s="3">
        <v>0.0</v>
      </c>
      <c r="Z124" s="3">
        <v>0.0</v>
      </c>
      <c r="AA124" s="3">
        <v>0.0</v>
      </c>
      <c r="AB124" s="3">
        <v>0.0</v>
      </c>
      <c r="AC124" s="3">
        <v>0.0</v>
      </c>
      <c r="AD124" s="3" t="s">
        <v>1720</v>
      </c>
      <c r="AE124" s="5" t="s">
        <v>96</v>
      </c>
      <c r="AF124" s="5">
        <v>0.5</v>
      </c>
      <c r="AG124" s="3" t="s">
        <v>97</v>
      </c>
      <c r="AH124" s="3">
        <v>1.0</v>
      </c>
      <c r="AI124" s="3" t="s">
        <v>1721</v>
      </c>
      <c r="AJ124" s="5" t="s">
        <v>99</v>
      </c>
      <c r="AK124" s="5">
        <v>1.0</v>
      </c>
      <c r="AL124" s="3" t="s">
        <v>1722</v>
      </c>
      <c r="AM124" s="5" t="s">
        <v>101</v>
      </c>
      <c r="AN124" s="5">
        <v>0.5</v>
      </c>
      <c r="AO124" s="3" t="s">
        <v>97</v>
      </c>
      <c r="AP124" s="3">
        <v>1.0</v>
      </c>
      <c r="AQ124" s="3" t="s">
        <v>1627</v>
      </c>
      <c r="AR124" s="5" t="s">
        <v>103</v>
      </c>
      <c r="AS124" s="3">
        <v>0.0</v>
      </c>
      <c r="AT124" s="3" t="s">
        <v>94</v>
      </c>
      <c r="AU124" s="5" t="s">
        <v>104</v>
      </c>
      <c r="AV124" s="5">
        <v>1.0</v>
      </c>
      <c r="AW124" s="3" t="s">
        <v>105</v>
      </c>
      <c r="AX124" s="5" t="s">
        <v>106</v>
      </c>
      <c r="AY124" s="5">
        <v>0.0</v>
      </c>
      <c r="AZ124" s="3" t="s">
        <v>223</v>
      </c>
      <c r="BA124" s="5" t="s">
        <v>108</v>
      </c>
      <c r="BB124" s="5">
        <v>0.5</v>
      </c>
      <c r="BC124" s="3" t="s">
        <v>109</v>
      </c>
      <c r="BD124" s="5" t="s">
        <v>110</v>
      </c>
      <c r="BE124" s="3">
        <v>1.0</v>
      </c>
      <c r="BF124" s="3" t="s">
        <v>1723</v>
      </c>
      <c r="BG124" s="5" t="s">
        <v>112</v>
      </c>
      <c r="BH124" s="5">
        <v>0.5</v>
      </c>
      <c r="BI124" s="3" t="s">
        <v>105</v>
      </c>
      <c r="BJ124" s="5" t="s">
        <v>114</v>
      </c>
      <c r="BK124" s="5">
        <v>1.0</v>
      </c>
      <c r="BL124" s="3" t="s">
        <v>115</v>
      </c>
      <c r="BM124" s="5" t="s">
        <v>116</v>
      </c>
      <c r="BN124" s="5">
        <v>1.0</v>
      </c>
      <c r="BO124" s="3" t="s">
        <v>160</v>
      </c>
      <c r="BP124" s="3"/>
      <c r="BQ124" s="3">
        <v>0.0</v>
      </c>
      <c r="BR124" s="3" t="s">
        <v>747</v>
      </c>
      <c r="BS124" s="5" t="s">
        <v>119</v>
      </c>
      <c r="BT124" s="5">
        <v>0.75</v>
      </c>
      <c r="BU124" s="3" t="s">
        <v>1724</v>
      </c>
      <c r="BV124" s="5" t="s">
        <v>121</v>
      </c>
      <c r="BW124" s="5">
        <v>0.75</v>
      </c>
      <c r="BX124" s="3" t="s">
        <v>1725</v>
      </c>
      <c r="BY124" s="5" t="s">
        <v>123</v>
      </c>
      <c r="BZ124" s="5">
        <v>0.5</v>
      </c>
      <c r="CA124" s="3" t="s">
        <v>97</v>
      </c>
      <c r="CB124" s="3" t="s">
        <v>1726</v>
      </c>
      <c r="CC124" s="3" t="s">
        <v>97</v>
      </c>
      <c r="CD124" s="3" t="s">
        <v>125</v>
      </c>
      <c r="CE124" s="3" t="s">
        <v>1727</v>
      </c>
      <c r="CF124" s="3" t="s">
        <v>97</v>
      </c>
      <c r="CG124" s="3" t="s">
        <v>1728</v>
      </c>
      <c r="CH124" s="3">
        <v>4.0</v>
      </c>
    </row>
    <row r="125" ht="14.25" customHeight="1">
      <c r="A125" s="3">
        <v>44750.0519459838</v>
      </c>
      <c r="B125" s="3" t="s">
        <v>86</v>
      </c>
      <c r="C125" s="3">
        <f t="shared" si="1"/>
        <v>1</v>
      </c>
      <c r="D125" s="3" t="s">
        <v>87</v>
      </c>
      <c r="E125" s="3" t="s">
        <v>88</v>
      </c>
      <c r="F125" s="3">
        <f t="shared" si="2"/>
        <v>1</v>
      </c>
      <c r="G125" s="3" t="s">
        <v>724</v>
      </c>
      <c r="H125" s="3" t="s">
        <v>1729</v>
      </c>
      <c r="I125" s="3">
        <v>4.0</v>
      </c>
      <c r="J125" s="3" t="s">
        <v>317</v>
      </c>
      <c r="K125" s="3">
        <f t="shared" si="3"/>
        <v>2</v>
      </c>
      <c r="L125" s="3" t="s">
        <v>92</v>
      </c>
      <c r="M125" s="3">
        <f t="shared" si="4"/>
        <v>1</v>
      </c>
      <c r="N125" s="4"/>
      <c r="O125" s="3" t="s">
        <v>766</v>
      </c>
      <c r="P125" s="3" t="s">
        <v>1730</v>
      </c>
      <c r="Q125" s="3">
        <v>1.0</v>
      </c>
      <c r="R125" s="3">
        <v>1.0</v>
      </c>
      <c r="S125" s="3">
        <v>0.0</v>
      </c>
      <c r="T125" s="3">
        <v>0.0</v>
      </c>
      <c r="U125" s="3">
        <v>0.0</v>
      </c>
      <c r="V125" s="3">
        <v>1.0</v>
      </c>
      <c r="W125" s="3">
        <v>1.0</v>
      </c>
      <c r="X125" s="3">
        <v>1.0</v>
      </c>
      <c r="Y125" s="3">
        <v>1.0</v>
      </c>
      <c r="Z125" s="3">
        <v>1.0</v>
      </c>
      <c r="AA125" s="3">
        <v>0.0</v>
      </c>
      <c r="AB125" s="3">
        <v>0.0</v>
      </c>
      <c r="AC125" s="3">
        <v>0.0</v>
      </c>
      <c r="AD125" s="3" t="s">
        <v>1731</v>
      </c>
      <c r="AE125" s="5" t="s">
        <v>96</v>
      </c>
      <c r="AF125" s="5">
        <v>0.75</v>
      </c>
      <c r="AG125" s="3" t="s">
        <v>97</v>
      </c>
      <c r="AH125" s="3">
        <v>1.0</v>
      </c>
      <c r="AI125" s="3" t="s">
        <v>1732</v>
      </c>
      <c r="AJ125" s="5" t="s">
        <v>99</v>
      </c>
      <c r="AK125" s="5">
        <v>1.0</v>
      </c>
      <c r="AL125" s="3" t="s">
        <v>1733</v>
      </c>
      <c r="AM125" s="5" t="s">
        <v>101</v>
      </c>
      <c r="AN125" s="5">
        <v>1.0</v>
      </c>
      <c r="AO125" s="3" t="s">
        <v>97</v>
      </c>
      <c r="AP125" s="3">
        <v>1.0</v>
      </c>
      <c r="AQ125" s="3" t="s">
        <v>1734</v>
      </c>
      <c r="AR125" s="5" t="s">
        <v>103</v>
      </c>
      <c r="AS125" s="3">
        <v>1.0</v>
      </c>
      <c r="AT125" s="3" t="s">
        <v>1667</v>
      </c>
      <c r="AU125" s="5" t="s">
        <v>104</v>
      </c>
      <c r="AV125" s="5">
        <v>1.0</v>
      </c>
      <c r="AW125" s="3" t="s">
        <v>105</v>
      </c>
      <c r="AX125" s="5" t="s">
        <v>106</v>
      </c>
      <c r="AY125" s="5">
        <v>0.0</v>
      </c>
      <c r="AZ125" s="3" t="s">
        <v>1735</v>
      </c>
      <c r="BA125" s="5" t="s">
        <v>108</v>
      </c>
      <c r="BB125" s="5">
        <v>0.25</v>
      </c>
      <c r="BC125" s="3" t="s">
        <v>109</v>
      </c>
      <c r="BD125" s="5" t="s">
        <v>110</v>
      </c>
      <c r="BE125" s="3">
        <v>1.0</v>
      </c>
      <c r="BF125" s="3" t="s">
        <v>1736</v>
      </c>
      <c r="BG125" s="5" t="s">
        <v>112</v>
      </c>
      <c r="BH125" s="5">
        <v>0.75</v>
      </c>
      <c r="BI125" s="3" t="s">
        <v>1737</v>
      </c>
      <c r="BJ125" s="5" t="s">
        <v>114</v>
      </c>
      <c r="BK125" s="5">
        <v>1.0</v>
      </c>
      <c r="BL125" s="3" t="s">
        <v>115</v>
      </c>
      <c r="BM125" s="5" t="s">
        <v>116</v>
      </c>
      <c r="BN125" s="5">
        <v>0.5</v>
      </c>
      <c r="BO125" s="3" t="s">
        <v>117</v>
      </c>
      <c r="BP125" s="3"/>
      <c r="BQ125" s="3">
        <v>1.0</v>
      </c>
      <c r="BR125" s="3" t="s">
        <v>161</v>
      </c>
      <c r="BS125" s="5" t="s">
        <v>119</v>
      </c>
      <c r="BT125" s="5">
        <v>1.0</v>
      </c>
      <c r="BU125" s="3" t="s">
        <v>1738</v>
      </c>
      <c r="BV125" s="5" t="s">
        <v>121</v>
      </c>
      <c r="BW125" s="5">
        <v>0.75</v>
      </c>
      <c r="BX125" s="3" t="s">
        <v>1739</v>
      </c>
      <c r="BY125" s="5" t="s">
        <v>123</v>
      </c>
      <c r="BZ125" s="5">
        <v>0.75</v>
      </c>
      <c r="CA125" s="3" t="s">
        <v>97</v>
      </c>
      <c r="CB125" s="3" t="s">
        <v>1740</v>
      </c>
      <c r="CC125" s="3" t="s">
        <v>97</v>
      </c>
      <c r="CD125" s="3" t="s">
        <v>125</v>
      </c>
      <c r="CE125" s="3" t="s">
        <v>1741</v>
      </c>
      <c r="CF125" s="3" t="s">
        <v>97</v>
      </c>
      <c r="CG125" s="3" t="s">
        <v>1742</v>
      </c>
      <c r="CH125" s="3">
        <v>6.0</v>
      </c>
    </row>
    <row r="126" ht="14.25" customHeight="1">
      <c r="A126" s="3">
        <v>44750.2864531597</v>
      </c>
      <c r="B126" s="3" t="s">
        <v>86</v>
      </c>
      <c r="C126" s="3">
        <f t="shared" si="1"/>
        <v>1</v>
      </c>
      <c r="D126" s="3" t="s">
        <v>128</v>
      </c>
      <c r="E126" s="3" t="s">
        <v>129</v>
      </c>
      <c r="F126" s="3">
        <f t="shared" si="2"/>
        <v>3</v>
      </c>
      <c r="G126" s="3" t="s">
        <v>130</v>
      </c>
      <c r="H126" s="3" t="s">
        <v>609</v>
      </c>
      <c r="I126" s="3">
        <v>2.0</v>
      </c>
      <c r="J126" s="3" t="s">
        <v>91</v>
      </c>
      <c r="K126" s="3">
        <f t="shared" si="3"/>
        <v>1</v>
      </c>
      <c r="L126" s="3" t="s">
        <v>133</v>
      </c>
      <c r="M126" s="3">
        <f t="shared" si="4"/>
        <v>0</v>
      </c>
      <c r="N126" s="4"/>
      <c r="O126" s="3" t="s">
        <v>766</v>
      </c>
      <c r="P126" s="3" t="s">
        <v>1743</v>
      </c>
      <c r="Q126" s="3">
        <v>1.0</v>
      </c>
      <c r="R126" s="3">
        <v>0.0</v>
      </c>
      <c r="S126" s="3">
        <v>0.0</v>
      </c>
      <c r="T126" s="3">
        <v>0.0</v>
      </c>
      <c r="U126" s="3">
        <v>0.0</v>
      </c>
      <c r="V126" s="3">
        <v>1.0</v>
      </c>
      <c r="W126" s="3">
        <v>0.0</v>
      </c>
      <c r="X126" s="3">
        <v>0.0</v>
      </c>
      <c r="Y126" s="3">
        <v>0.0</v>
      </c>
      <c r="Z126" s="3">
        <v>1.0</v>
      </c>
      <c r="AA126" s="3">
        <v>0.0</v>
      </c>
      <c r="AB126" s="3">
        <v>0.0</v>
      </c>
      <c r="AC126" s="3">
        <v>0.0</v>
      </c>
      <c r="AD126" s="3" t="s">
        <v>1744</v>
      </c>
      <c r="AE126" s="5" t="s">
        <v>96</v>
      </c>
      <c r="AF126" s="5">
        <v>0.5</v>
      </c>
      <c r="AG126" s="3" t="s">
        <v>97</v>
      </c>
      <c r="AH126" s="3">
        <v>1.0</v>
      </c>
      <c r="AI126" s="3" t="s">
        <v>1745</v>
      </c>
      <c r="AJ126" s="5" t="s">
        <v>99</v>
      </c>
      <c r="AK126" s="5">
        <v>1.0</v>
      </c>
      <c r="AL126" s="3" t="s">
        <v>1746</v>
      </c>
      <c r="AM126" s="5" t="s">
        <v>101</v>
      </c>
      <c r="AN126" s="5">
        <v>1.0</v>
      </c>
      <c r="AO126" s="3" t="s">
        <v>97</v>
      </c>
      <c r="AP126" s="3">
        <v>1.0</v>
      </c>
      <c r="AQ126" s="3" t="s">
        <v>1747</v>
      </c>
      <c r="AR126" s="5" t="s">
        <v>103</v>
      </c>
      <c r="AS126" s="3">
        <v>1.0</v>
      </c>
      <c r="AT126" s="3" t="s">
        <v>94</v>
      </c>
      <c r="AU126" s="5" t="s">
        <v>104</v>
      </c>
      <c r="AV126" s="5">
        <v>1.0</v>
      </c>
      <c r="AW126" s="3" t="s">
        <v>1748</v>
      </c>
      <c r="AX126" s="5" t="s">
        <v>106</v>
      </c>
      <c r="AY126" s="5">
        <v>0.25</v>
      </c>
      <c r="AZ126" s="3" t="s">
        <v>1749</v>
      </c>
      <c r="BA126" s="5" t="s">
        <v>108</v>
      </c>
      <c r="BB126" s="5">
        <v>0.75</v>
      </c>
      <c r="BC126" s="3" t="s">
        <v>109</v>
      </c>
      <c r="BD126" s="5" t="s">
        <v>110</v>
      </c>
      <c r="BE126" s="3">
        <v>1.0</v>
      </c>
      <c r="BF126" s="3" t="s">
        <v>1750</v>
      </c>
      <c r="BG126" s="5" t="s">
        <v>112</v>
      </c>
      <c r="BH126" s="5">
        <v>0.75</v>
      </c>
      <c r="BI126" s="3" t="s">
        <v>105</v>
      </c>
      <c r="BJ126" s="5" t="s">
        <v>114</v>
      </c>
      <c r="BK126" s="5">
        <v>0.5</v>
      </c>
      <c r="BL126" s="3" t="s">
        <v>115</v>
      </c>
      <c r="BM126" s="5" t="s">
        <v>116</v>
      </c>
      <c r="BN126" s="5">
        <v>1.0</v>
      </c>
      <c r="BO126" s="3" t="s">
        <v>117</v>
      </c>
      <c r="BP126" s="3"/>
      <c r="BQ126" s="3">
        <v>1.0</v>
      </c>
      <c r="BR126" s="3" t="s">
        <v>1751</v>
      </c>
      <c r="BS126" s="5" t="s">
        <v>119</v>
      </c>
      <c r="BT126" s="5">
        <v>1.0</v>
      </c>
      <c r="BU126" s="3" t="s">
        <v>1752</v>
      </c>
      <c r="BV126" s="5" t="s">
        <v>121</v>
      </c>
      <c r="BW126" s="5">
        <v>0.25</v>
      </c>
      <c r="BX126" s="3" t="s">
        <v>1753</v>
      </c>
      <c r="BY126" s="5" t="s">
        <v>123</v>
      </c>
      <c r="BZ126" s="5">
        <v>0.5</v>
      </c>
      <c r="CA126" s="3" t="s">
        <v>97</v>
      </c>
      <c r="CB126" s="3" t="s">
        <v>1754</v>
      </c>
      <c r="CC126" s="3" t="s">
        <v>97</v>
      </c>
      <c r="CD126" s="3" t="s">
        <v>125</v>
      </c>
      <c r="CE126" s="3" t="s">
        <v>1755</v>
      </c>
      <c r="CF126" s="3" t="s">
        <v>167</v>
      </c>
      <c r="CG126" s="3" t="s">
        <v>1756</v>
      </c>
      <c r="CH126" s="3">
        <v>7.0</v>
      </c>
    </row>
    <row r="127" ht="14.25" customHeight="1">
      <c r="A127" s="3">
        <v>44750.7478872685</v>
      </c>
      <c r="B127" s="3" t="s">
        <v>86</v>
      </c>
      <c r="C127" s="3">
        <f t="shared" si="1"/>
        <v>1</v>
      </c>
      <c r="D127" s="3" t="s">
        <v>128</v>
      </c>
      <c r="E127" s="3" t="s">
        <v>129</v>
      </c>
      <c r="F127" s="3">
        <f t="shared" si="2"/>
        <v>3</v>
      </c>
      <c r="G127" s="3" t="s">
        <v>130</v>
      </c>
      <c r="H127" s="3" t="s">
        <v>1507</v>
      </c>
      <c r="I127" s="3">
        <v>2.0</v>
      </c>
      <c r="J127" s="3" t="s">
        <v>317</v>
      </c>
      <c r="K127" s="3">
        <f t="shared" si="3"/>
        <v>2</v>
      </c>
      <c r="L127" s="3" t="s">
        <v>92</v>
      </c>
      <c r="M127" s="3">
        <f t="shared" si="4"/>
        <v>1</v>
      </c>
      <c r="N127" s="4"/>
      <c r="O127" s="3" t="s">
        <v>766</v>
      </c>
      <c r="P127" s="3" t="s">
        <v>1757</v>
      </c>
      <c r="Q127" s="3">
        <v>1.0</v>
      </c>
      <c r="R127" s="3">
        <v>1.0</v>
      </c>
      <c r="S127" s="3">
        <v>1.0</v>
      </c>
      <c r="T127" s="3">
        <v>0.0</v>
      </c>
      <c r="U127" s="3">
        <v>0.0</v>
      </c>
      <c r="V127" s="3">
        <v>0.0</v>
      </c>
      <c r="W127" s="3">
        <v>0.0</v>
      </c>
      <c r="X127" s="3">
        <v>1.0</v>
      </c>
      <c r="Y127" s="3">
        <v>1.0</v>
      </c>
      <c r="Z127" s="3">
        <v>1.0</v>
      </c>
      <c r="AA127" s="3">
        <v>0.0</v>
      </c>
      <c r="AB127" s="3">
        <v>0.0</v>
      </c>
      <c r="AC127" s="3">
        <v>0.0</v>
      </c>
      <c r="AD127" s="3" t="s">
        <v>1758</v>
      </c>
      <c r="AE127" s="5" t="s">
        <v>96</v>
      </c>
      <c r="AF127" s="5">
        <v>0.25</v>
      </c>
      <c r="AG127" s="3" t="s">
        <v>97</v>
      </c>
      <c r="AH127" s="3">
        <v>1.0</v>
      </c>
      <c r="AI127" s="3" t="s">
        <v>1759</v>
      </c>
      <c r="AJ127" s="5" t="s">
        <v>99</v>
      </c>
      <c r="AK127" s="5">
        <v>1.0</v>
      </c>
      <c r="AL127" s="3" t="s">
        <v>1760</v>
      </c>
      <c r="AM127" s="5" t="s">
        <v>101</v>
      </c>
      <c r="AN127" s="5">
        <v>0.5</v>
      </c>
      <c r="AO127" s="3" t="s">
        <v>97</v>
      </c>
      <c r="AP127" s="3">
        <v>1.0</v>
      </c>
      <c r="AQ127" s="3" t="s">
        <v>1761</v>
      </c>
      <c r="AR127" s="5" t="s">
        <v>103</v>
      </c>
      <c r="AS127" s="3">
        <v>1.0</v>
      </c>
      <c r="AT127" s="3" t="s">
        <v>848</v>
      </c>
      <c r="AU127" s="5" t="s">
        <v>104</v>
      </c>
      <c r="AV127" s="5">
        <v>1.0</v>
      </c>
      <c r="AW127" s="3" t="s">
        <v>1762</v>
      </c>
      <c r="AX127" s="5" t="s">
        <v>106</v>
      </c>
      <c r="AY127" s="5">
        <v>1.0</v>
      </c>
      <c r="AZ127" s="3" t="s">
        <v>1763</v>
      </c>
      <c r="BA127" s="5" t="s">
        <v>108</v>
      </c>
      <c r="BB127" s="5">
        <v>0.75</v>
      </c>
      <c r="BC127" s="3" t="s">
        <v>109</v>
      </c>
      <c r="BD127" s="5" t="s">
        <v>110</v>
      </c>
      <c r="BE127" s="3">
        <v>1.0</v>
      </c>
      <c r="BF127" s="3" t="s">
        <v>1764</v>
      </c>
      <c r="BG127" s="5" t="s">
        <v>112</v>
      </c>
      <c r="BH127" s="5">
        <v>0.5</v>
      </c>
      <c r="BI127" s="3" t="s">
        <v>105</v>
      </c>
      <c r="BJ127" s="5" t="s">
        <v>114</v>
      </c>
      <c r="BK127" s="5">
        <v>1.0</v>
      </c>
      <c r="BL127" s="3" t="s">
        <v>457</v>
      </c>
      <c r="BM127" s="5" t="s">
        <v>116</v>
      </c>
      <c r="BN127" s="5">
        <v>1.0</v>
      </c>
      <c r="BO127" s="3" t="s">
        <v>211</v>
      </c>
      <c r="BP127" s="3"/>
      <c r="BQ127" s="3">
        <v>1.0</v>
      </c>
      <c r="BR127" s="3" t="s">
        <v>161</v>
      </c>
      <c r="BS127" s="5" t="s">
        <v>119</v>
      </c>
      <c r="BT127" s="5">
        <v>1.0</v>
      </c>
      <c r="BU127" s="3" t="s">
        <v>1765</v>
      </c>
      <c r="BV127" s="5" t="s">
        <v>121</v>
      </c>
      <c r="BW127" s="5">
        <v>0.25</v>
      </c>
      <c r="BX127" s="3" t="s">
        <v>1766</v>
      </c>
      <c r="BY127" s="5" t="s">
        <v>123</v>
      </c>
      <c r="BZ127" s="5">
        <v>0.75</v>
      </c>
      <c r="CA127" s="3" t="s">
        <v>97</v>
      </c>
      <c r="CB127" s="3" t="s">
        <v>1767</v>
      </c>
      <c r="CC127" s="3" t="s">
        <v>97</v>
      </c>
      <c r="CD127" s="3" t="s">
        <v>1675</v>
      </c>
      <c r="CE127" s="3" t="s">
        <v>1768</v>
      </c>
      <c r="CF127" s="3" t="s">
        <v>97</v>
      </c>
      <c r="CG127" s="3" t="s">
        <v>1769</v>
      </c>
      <c r="CH127" s="3">
        <v>6.0</v>
      </c>
    </row>
    <row r="128" ht="14.25" customHeight="1">
      <c r="A128" s="3">
        <v>44750.7758142245</v>
      </c>
      <c r="B128" s="3" t="s">
        <v>86</v>
      </c>
      <c r="C128" s="3">
        <f t="shared" si="1"/>
        <v>1</v>
      </c>
      <c r="D128" s="3" t="s">
        <v>128</v>
      </c>
      <c r="E128" s="3" t="s">
        <v>129</v>
      </c>
      <c r="F128" s="3">
        <f t="shared" si="2"/>
        <v>3</v>
      </c>
      <c r="G128" s="3" t="s">
        <v>130</v>
      </c>
      <c r="H128" s="3" t="s">
        <v>609</v>
      </c>
      <c r="I128" s="3">
        <v>2.0</v>
      </c>
      <c r="J128" s="3" t="s">
        <v>317</v>
      </c>
      <c r="K128" s="3">
        <f t="shared" si="3"/>
        <v>2</v>
      </c>
      <c r="L128" s="3" t="s">
        <v>92</v>
      </c>
      <c r="M128" s="3">
        <f t="shared" si="4"/>
        <v>1</v>
      </c>
      <c r="N128" s="4"/>
      <c r="O128" s="3" t="s">
        <v>766</v>
      </c>
      <c r="P128" s="3" t="s">
        <v>1770</v>
      </c>
      <c r="Q128" s="3">
        <v>0.0</v>
      </c>
      <c r="R128" s="3">
        <v>0.0</v>
      </c>
      <c r="S128" s="3">
        <v>1.0</v>
      </c>
      <c r="T128" s="3">
        <v>1.0</v>
      </c>
      <c r="U128" s="3">
        <v>1.0</v>
      </c>
      <c r="V128" s="3">
        <v>1.0</v>
      </c>
      <c r="W128" s="3">
        <v>0.0</v>
      </c>
      <c r="X128" s="3">
        <v>0.0</v>
      </c>
      <c r="Y128" s="3">
        <v>0.0</v>
      </c>
      <c r="Z128" s="3">
        <v>0.0</v>
      </c>
      <c r="AA128" s="3">
        <v>0.0</v>
      </c>
      <c r="AB128" s="3">
        <v>0.0</v>
      </c>
      <c r="AC128" s="3">
        <v>0.0</v>
      </c>
      <c r="AD128" s="3" t="s">
        <v>1771</v>
      </c>
      <c r="AE128" s="5" t="s">
        <v>96</v>
      </c>
      <c r="AF128" s="5">
        <v>0.5</v>
      </c>
      <c r="AG128" s="3" t="s">
        <v>97</v>
      </c>
      <c r="AH128" s="3">
        <v>1.0</v>
      </c>
      <c r="AI128" s="3" t="s">
        <v>1772</v>
      </c>
      <c r="AJ128" s="5" t="s">
        <v>99</v>
      </c>
      <c r="AK128" s="5">
        <v>0.0</v>
      </c>
      <c r="AL128" s="3" t="s">
        <v>1773</v>
      </c>
      <c r="AM128" s="5" t="s">
        <v>101</v>
      </c>
      <c r="AN128" s="5">
        <v>1.0</v>
      </c>
      <c r="AO128" s="3" t="s">
        <v>97</v>
      </c>
      <c r="AP128" s="3">
        <v>1.0</v>
      </c>
      <c r="AQ128" s="3" t="s">
        <v>1774</v>
      </c>
      <c r="AR128" s="5" t="s">
        <v>103</v>
      </c>
      <c r="AS128" s="3">
        <v>1.0</v>
      </c>
      <c r="AT128" s="3" t="s">
        <v>848</v>
      </c>
      <c r="AU128" s="5" t="s">
        <v>104</v>
      </c>
      <c r="AV128" s="5">
        <v>1.0</v>
      </c>
      <c r="AW128" s="3" t="s">
        <v>105</v>
      </c>
      <c r="AX128" s="5" t="s">
        <v>106</v>
      </c>
      <c r="AY128" s="5">
        <v>0.0</v>
      </c>
      <c r="AZ128" s="3" t="s">
        <v>1775</v>
      </c>
      <c r="BA128" s="5" t="s">
        <v>108</v>
      </c>
      <c r="BB128" s="5">
        <v>0.75</v>
      </c>
      <c r="BC128" s="3" t="s">
        <v>109</v>
      </c>
      <c r="BD128" s="5" t="s">
        <v>110</v>
      </c>
      <c r="BE128" s="3">
        <v>1.0</v>
      </c>
      <c r="BF128" s="3" t="s">
        <v>1776</v>
      </c>
      <c r="BG128" s="5" t="s">
        <v>112</v>
      </c>
      <c r="BH128" s="5">
        <v>0.75</v>
      </c>
      <c r="BI128" s="3" t="s">
        <v>1777</v>
      </c>
      <c r="BJ128" s="5" t="s">
        <v>114</v>
      </c>
      <c r="BK128" s="5">
        <v>1.0</v>
      </c>
      <c r="BL128" s="3" t="s">
        <v>574</v>
      </c>
      <c r="BM128" s="5" t="s">
        <v>116</v>
      </c>
      <c r="BN128" s="5">
        <v>1.0</v>
      </c>
      <c r="BO128" s="3" t="s">
        <v>160</v>
      </c>
      <c r="BP128" s="3"/>
      <c r="BQ128" s="3">
        <v>0.0</v>
      </c>
      <c r="BR128" s="3" t="s">
        <v>161</v>
      </c>
      <c r="BS128" s="5" t="s">
        <v>119</v>
      </c>
      <c r="BT128" s="5">
        <v>1.0</v>
      </c>
      <c r="BU128" s="3" t="s">
        <v>1778</v>
      </c>
      <c r="BV128" s="5" t="s">
        <v>121</v>
      </c>
      <c r="BW128" s="5">
        <v>0.5</v>
      </c>
      <c r="BX128" s="3" t="s">
        <v>1779</v>
      </c>
      <c r="BY128" s="5" t="s">
        <v>123</v>
      </c>
      <c r="BZ128" s="5">
        <v>0.75</v>
      </c>
      <c r="CA128" s="3" t="s">
        <v>97</v>
      </c>
      <c r="CB128" s="3" t="s">
        <v>1780</v>
      </c>
      <c r="CC128" s="3" t="s">
        <v>97</v>
      </c>
      <c r="CD128" s="3" t="s">
        <v>125</v>
      </c>
      <c r="CE128" s="3" t="s">
        <v>1781</v>
      </c>
      <c r="CF128" s="3" t="s">
        <v>1782</v>
      </c>
      <c r="CG128" s="3" t="s">
        <v>1783</v>
      </c>
      <c r="CH128" s="3">
        <v>4.0</v>
      </c>
    </row>
    <row r="129" ht="14.25" customHeight="1">
      <c r="A129" s="3">
        <v>44751.1444643056</v>
      </c>
      <c r="B129" s="3" t="s">
        <v>86</v>
      </c>
      <c r="C129" s="3">
        <f t="shared" si="1"/>
        <v>1</v>
      </c>
      <c r="D129" s="3" t="s">
        <v>169</v>
      </c>
      <c r="E129" s="3" t="s">
        <v>170</v>
      </c>
      <c r="F129" s="3">
        <f t="shared" si="2"/>
        <v>2</v>
      </c>
      <c r="G129" s="3" t="s">
        <v>89</v>
      </c>
      <c r="H129" s="3" t="s">
        <v>90</v>
      </c>
      <c r="I129" s="3">
        <v>4.0</v>
      </c>
      <c r="J129" s="3" t="s">
        <v>317</v>
      </c>
      <c r="K129" s="3">
        <f t="shared" si="3"/>
        <v>2</v>
      </c>
      <c r="L129" s="3" t="s">
        <v>92</v>
      </c>
      <c r="M129" s="3">
        <f t="shared" si="4"/>
        <v>1</v>
      </c>
      <c r="N129" s="4"/>
      <c r="O129" s="3" t="s">
        <v>766</v>
      </c>
      <c r="P129" s="3" t="s">
        <v>1013</v>
      </c>
      <c r="Q129" s="3">
        <v>0.0</v>
      </c>
      <c r="R129" s="3">
        <v>0.0</v>
      </c>
      <c r="S129" s="3">
        <v>1.0</v>
      </c>
      <c r="T129" s="3">
        <v>0.0</v>
      </c>
      <c r="U129" s="3">
        <v>0.0</v>
      </c>
      <c r="V129" s="3">
        <v>0.0</v>
      </c>
      <c r="W129" s="3">
        <v>0.0</v>
      </c>
      <c r="X129" s="3">
        <v>0.0</v>
      </c>
      <c r="Y129" s="3">
        <v>0.0</v>
      </c>
      <c r="Z129" s="3">
        <v>0.0</v>
      </c>
      <c r="AA129" s="3">
        <v>0.0</v>
      </c>
      <c r="AB129" s="3">
        <v>0.0</v>
      </c>
      <c r="AC129" s="3">
        <v>0.0</v>
      </c>
      <c r="AD129" s="3" t="s">
        <v>1784</v>
      </c>
      <c r="AE129" s="5" t="s">
        <v>96</v>
      </c>
      <c r="AF129" s="5">
        <v>0.5</v>
      </c>
      <c r="AG129" s="3" t="s">
        <v>97</v>
      </c>
      <c r="AH129" s="3">
        <v>1.0</v>
      </c>
      <c r="AI129" s="3" t="s">
        <v>1785</v>
      </c>
      <c r="AJ129" s="5" t="s">
        <v>99</v>
      </c>
      <c r="AK129" s="5">
        <v>1.0</v>
      </c>
      <c r="AL129" s="3" t="s">
        <v>1786</v>
      </c>
      <c r="AM129" s="5" t="s">
        <v>101</v>
      </c>
      <c r="AN129" s="5">
        <v>1.0</v>
      </c>
      <c r="AO129" s="3" t="s">
        <v>97</v>
      </c>
      <c r="AP129" s="3">
        <v>1.0</v>
      </c>
      <c r="AQ129" s="3" t="s">
        <v>1787</v>
      </c>
      <c r="AR129" s="5" t="s">
        <v>103</v>
      </c>
      <c r="AS129" s="3">
        <v>0.0</v>
      </c>
      <c r="AT129" s="3" t="s">
        <v>94</v>
      </c>
      <c r="AU129" s="5" t="s">
        <v>104</v>
      </c>
      <c r="AV129" s="5">
        <v>1.0</v>
      </c>
      <c r="AW129" s="3" t="s">
        <v>105</v>
      </c>
      <c r="AX129" s="5" t="s">
        <v>106</v>
      </c>
      <c r="AY129" s="5">
        <v>0.0</v>
      </c>
      <c r="AZ129" s="3" t="s">
        <v>1788</v>
      </c>
      <c r="BA129" s="5" t="s">
        <v>108</v>
      </c>
      <c r="BB129" s="5">
        <v>0.25</v>
      </c>
      <c r="BC129" s="3" t="s">
        <v>109</v>
      </c>
      <c r="BD129" s="5" t="s">
        <v>110</v>
      </c>
      <c r="BE129" s="3">
        <v>1.0</v>
      </c>
      <c r="BF129" s="3" t="s">
        <v>1789</v>
      </c>
      <c r="BG129" s="5" t="s">
        <v>112</v>
      </c>
      <c r="BH129" s="5">
        <v>0.5</v>
      </c>
      <c r="BI129" s="3" t="s">
        <v>105</v>
      </c>
      <c r="BJ129" s="5" t="s">
        <v>114</v>
      </c>
      <c r="BK129" s="5">
        <v>1.0</v>
      </c>
      <c r="BL129" s="3" t="s">
        <v>115</v>
      </c>
      <c r="BM129" s="5" t="s">
        <v>116</v>
      </c>
      <c r="BN129" s="5">
        <v>0.25</v>
      </c>
      <c r="BO129" s="3" t="s">
        <v>117</v>
      </c>
      <c r="BP129" s="3"/>
      <c r="BQ129" s="3">
        <v>1.0</v>
      </c>
      <c r="BR129" s="3" t="s">
        <v>161</v>
      </c>
      <c r="BS129" s="5" t="s">
        <v>119</v>
      </c>
      <c r="BT129" s="5">
        <v>1.0</v>
      </c>
      <c r="BU129" s="3" t="s">
        <v>1790</v>
      </c>
      <c r="BV129" s="5" t="s">
        <v>121</v>
      </c>
      <c r="BW129" s="5">
        <v>0.5</v>
      </c>
      <c r="BX129" s="3" t="s">
        <v>1791</v>
      </c>
      <c r="BY129" s="5" t="s">
        <v>123</v>
      </c>
      <c r="BZ129" s="5">
        <v>0.5</v>
      </c>
      <c r="CA129" s="3" t="s">
        <v>97</v>
      </c>
      <c r="CB129" s="3" t="s">
        <v>1792</v>
      </c>
      <c r="CC129" s="3" t="s">
        <v>97</v>
      </c>
      <c r="CD129" s="3" t="s">
        <v>125</v>
      </c>
      <c r="CE129" s="3" t="s">
        <v>105</v>
      </c>
      <c r="CF129" s="3" t="s">
        <v>97</v>
      </c>
      <c r="CG129" s="3" t="s">
        <v>1793</v>
      </c>
      <c r="CH129" s="3">
        <v>5.0</v>
      </c>
    </row>
    <row r="130" ht="14.25" customHeight="1">
      <c r="A130" s="3">
        <v>44751.3395726736</v>
      </c>
      <c r="B130" s="3" t="s">
        <v>149</v>
      </c>
      <c r="C130" s="3">
        <f t="shared" si="1"/>
        <v>0</v>
      </c>
      <c r="D130" s="3" t="s">
        <v>128</v>
      </c>
      <c r="E130" s="3" t="s">
        <v>129</v>
      </c>
      <c r="F130" s="3">
        <f t="shared" si="2"/>
        <v>3</v>
      </c>
      <c r="G130" s="3" t="s">
        <v>186</v>
      </c>
      <c r="H130" s="3" t="s">
        <v>90</v>
      </c>
      <c r="I130" s="3">
        <v>4.0</v>
      </c>
      <c r="J130" s="3" t="s">
        <v>317</v>
      </c>
      <c r="K130" s="3">
        <f t="shared" si="3"/>
        <v>2</v>
      </c>
      <c r="L130" s="3" t="s">
        <v>92</v>
      </c>
      <c r="M130" s="3">
        <f t="shared" si="4"/>
        <v>1</v>
      </c>
      <c r="N130" s="4"/>
      <c r="O130" s="3" t="s">
        <v>766</v>
      </c>
      <c r="P130" s="3" t="s">
        <v>16</v>
      </c>
      <c r="Q130" s="3">
        <v>1.0</v>
      </c>
      <c r="R130" s="3">
        <v>0.0</v>
      </c>
      <c r="S130" s="3">
        <v>0.0</v>
      </c>
      <c r="T130" s="3">
        <v>0.0</v>
      </c>
      <c r="U130" s="3">
        <v>0.0</v>
      </c>
      <c r="V130" s="3">
        <v>0.0</v>
      </c>
      <c r="W130" s="3">
        <v>0.0</v>
      </c>
      <c r="X130" s="3">
        <v>0.0</v>
      </c>
      <c r="Y130" s="3">
        <v>0.0</v>
      </c>
      <c r="Z130" s="3">
        <v>0.0</v>
      </c>
      <c r="AA130" s="3">
        <v>0.0</v>
      </c>
      <c r="AB130" s="3">
        <v>0.0</v>
      </c>
      <c r="AC130" s="3">
        <v>0.0</v>
      </c>
      <c r="AD130" s="3" t="s">
        <v>1794</v>
      </c>
      <c r="AE130" s="5" t="s">
        <v>96</v>
      </c>
      <c r="AF130" s="5">
        <v>0.0</v>
      </c>
      <c r="AG130" s="3" t="s">
        <v>97</v>
      </c>
      <c r="AH130" s="3">
        <v>1.0</v>
      </c>
      <c r="AI130" s="3" t="s">
        <v>1795</v>
      </c>
      <c r="AJ130" s="5" t="s">
        <v>99</v>
      </c>
      <c r="AK130" s="5">
        <v>1.0</v>
      </c>
      <c r="AL130" s="3" t="s">
        <v>1796</v>
      </c>
      <c r="AM130" s="5" t="s">
        <v>101</v>
      </c>
      <c r="AN130" s="5">
        <v>0.25</v>
      </c>
      <c r="AO130" s="3" t="s">
        <v>97</v>
      </c>
      <c r="AP130" s="3">
        <v>1.0</v>
      </c>
      <c r="AQ130" s="3" t="s">
        <v>1797</v>
      </c>
      <c r="AR130" s="5" t="s">
        <v>103</v>
      </c>
      <c r="AS130" s="3">
        <v>0.0</v>
      </c>
      <c r="AT130" s="3" t="s">
        <v>1798</v>
      </c>
      <c r="AU130" s="5" t="s">
        <v>104</v>
      </c>
      <c r="AV130" s="5">
        <v>1.0</v>
      </c>
      <c r="AW130" s="3" t="s">
        <v>105</v>
      </c>
      <c r="AX130" s="5" t="s">
        <v>106</v>
      </c>
      <c r="AY130" s="5">
        <v>0.0</v>
      </c>
      <c r="AZ130" s="3" t="s">
        <v>1799</v>
      </c>
      <c r="BA130" s="5" t="s">
        <v>108</v>
      </c>
      <c r="BB130" s="5">
        <v>0.75</v>
      </c>
      <c r="BC130" s="3" t="s">
        <v>109</v>
      </c>
      <c r="BD130" s="5" t="s">
        <v>110</v>
      </c>
      <c r="BE130" s="3">
        <v>1.0</v>
      </c>
      <c r="BF130" s="3" t="s">
        <v>1800</v>
      </c>
      <c r="BG130" s="5" t="s">
        <v>112</v>
      </c>
      <c r="BH130" s="5">
        <v>0.75</v>
      </c>
      <c r="BI130" s="3" t="s">
        <v>105</v>
      </c>
      <c r="BJ130" s="5" t="s">
        <v>114</v>
      </c>
      <c r="BK130" s="5">
        <v>1.0</v>
      </c>
      <c r="BL130" s="3" t="s">
        <v>1402</v>
      </c>
      <c r="BM130" s="5" t="s">
        <v>116</v>
      </c>
      <c r="BN130" s="5">
        <v>0.75</v>
      </c>
      <c r="BO130" s="3" t="s">
        <v>211</v>
      </c>
      <c r="BP130" s="3"/>
      <c r="BQ130" s="3">
        <v>1.0</v>
      </c>
      <c r="BR130" s="3" t="s">
        <v>161</v>
      </c>
      <c r="BS130" s="5" t="s">
        <v>119</v>
      </c>
      <c r="BT130" s="5">
        <v>1.0</v>
      </c>
      <c r="BU130" s="3" t="s">
        <v>1801</v>
      </c>
      <c r="BV130" s="5" t="s">
        <v>121</v>
      </c>
      <c r="BW130" s="5">
        <v>0.5</v>
      </c>
      <c r="BX130" s="3" t="s">
        <v>1802</v>
      </c>
      <c r="BY130" s="5" t="s">
        <v>123</v>
      </c>
      <c r="BZ130" s="5">
        <v>0.5</v>
      </c>
      <c r="CA130" s="3" t="s">
        <v>97</v>
      </c>
      <c r="CB130" s="3" t="s">
        <v>1803</v>
      </c>
      <c r="CC130" s="3" t="s">
        <v>97</v>
      </c>
      <c r="CD130" s="3" t="s">
        <v>125</v>
      </c>
      <c r="CE130" s="3" t="s">
        <v>105</v>
      </c>
      <c r="CF130" s="3" t="s">
        <v>97</v>
      </c>
      <c r="CG130" s="3" t="s">
        <v>1021</v>
      </c>
      <c r="CH130" s="3">
        <v>5.0</v>
      </c>
    </row>
    <row r="131" ht="14.25" customHeight="1">
      <c r="A131" s="3">
        <v>44751.4100850116</v>
      </c>
      <c r="B131" s="3" t="s">
        <v>86</v>
      </c>
      <c r="C131" s="3">
        <f t="shared" si="1"/>
        <v>1</v>
      </c>
      <c r="D131" s="3" t="s">
        <v>128</v>
      </c>
      <c r="E131" s="3" t="s">
        <v>129</v>
      </c>
      <c r="F131" s="3">
        <f t="shared" si="2"/>
        <v>3</v>
      </c>
      <c r="G131" s="3" t="s">
        <v>130</v>
      </c>
      <c r="H131" s="3" t="s">
        <v>609</v>
      </c>
      <c r="I131" s="3">
        <v>2.0</v>
      </c>
      <c r="J131" s="3" t="s">
        <v>317</v>
      </c>
      <c r="K131" s="3">
        <f t="shared" si="3"/>
        <v>2</v>
      </c>
      <c r="L131" s="3" t="s">
        <v>92</v>
      </c>
      <c r="M131" s="3">
        <f t="shared" si="4"/>
        <v>1</v>
      </c>
      <c r="N131" s="4"/>
      <c r="O131" s="3" t="s">
        <v>766</v>
      </c>
      <c r="P131" s="3" t="s">
        <v>1574</v>
      </c>
      <c r="Q131" s="3">
        <v>1.0</v>
      </c>
      <c r="R131" s="3">
        <v>1.0</v>
      </c>
      <c r="S131" s="3">
        <v>1.0</v>
      </c>
      <c r="T131" s="3">
        <v>0.0</v>
      </c>
      <c r="U131" s="3">
        <v>0.0</v>
      </c>
      <c r="V131" s="3">
        <v>0.0</v>
      </c>
      <c r="W131" s="3">
        <v>0.0</v>
      </c>
      <c r="X131" s="3">
        <v>0.0</v>
      </c>
      <c r="Y131" s="3">
        <v>0.0</v>
      </c>
      <c r="Z131" s="3">
        <v>0.0</v>
      </c>
      <c r="AA131" s="3">
        <v>0.0</v>
      </c>
      <c r="AB131" s="3">
        <v>0.0</v>
      </c>
      <c r="AC131" s="3">
        <v>0.0</v>
      </c>
      <c r="AD131" s="3" t="s">
        <v>1804</v>
      </c>
      <c r="AE131" s="5" t="s">
        <v>96</v>
      </c>
      <c r="AF131" s="5">
        <v>0.5</v>
      </c>
      <c r="AG131" s="3" t="s">
        <v>97</v>
      </c>
      <c r="AH131" s="3">
        <v>1.0</v>
      </c>
      <c r="AI131" s="3" t="s">
        <v>1805</v>
      </c>
      <c r="AJ131" s="5" t="s">
        <v>99</v>
      </c>
      <c r="AK131" s="5">
        <v>1.0</v>
      </c>
      <c r="AL131" s="3" t="s">
        <v>1806</v>
      </c>
      <c r="AM131" s="5" t="s">
        <v>101</v>
      </c>
      <c r="AN131" s="5">
        <v>0.5</v>
      </c>
      <c r="AO131" s="3" t="s">
        <v>97</v>
      </c>
      <c r="AP131" s="3">
        <v>1.0</v>
      </c>
      <c r="AQ131" s="3" t="s">
        <v>1807</v>
      </c>
      <c r="AR131" s="5" t="s">
        <v>103</v>
      </c>
      <c r="AS131" s="3">
        <v>1.0</v>
      </c>
      <c r="AT131" s="3" t="s">
        <v>94</v>
      </c>
      <c r="AU131" s="5" t="s">
        <v>104</v>
      </c>
      <c r="AV131" s="5">
        <v>1.0</v>
      </c>
      <c r="AW131" s="3" t="s">
        <v>105</v>
      </c>
      <c r="AX131" s="5" t="s">
        <v>106</v>
      </c>
      <c r="AY131" s="5">
        <v>0.0</v>
      </c>
      <c r="AZ131" s="3" t="s">
        <v>1808</v>
      </c>
      <c r="BA131" s="5" t="s">
        <v>108</v>
      </c>
      <c r="BB131" s="5">
        <v>0.5</v>
      </c>
      <c r="BC131" s="3" t="s">
        <v>109</v>
      </c>
      <c r="BD131" s="5" t="s">
        <v>110</v>
      </c>
      <c r="BE131" s="3">
        <v>1.0</v>
      </c>
      <c r="BF131" s="3" t="s">
        <v>1809</v>
      </c>
      <c r="BG131" s="5" t="s">
        <v>112</v>
      </c>
      <c r="BH131" s="5">
        <v>0.75</v>
      </c>
      <c r="BI131" s="3" t="s">
        <v>1810</v>
      </c>
      <c r="BJ131" s="5" t="s">
        <v>114</v>
      </c>
      <c r="BK131" s="5">
        <v>1.0</v>
      </c>
      <c r="BL131" s="3" t="s">
        <v>115</v>
      </c>
      <c r="BM131" s="5" t="s">
        <v>116</v>
      </c>
      <c r="BN131" s="5">
        <v>1.0</v>
      </c>
      <c r="BO131" s="3" t="s">
        <v>117</v>
      </c>
      <c r="BP131" s="3"/>
      <c r="BQ131" s="3">
        <v>1.0</v>
      </c>
      <c r="BR131" s="3" t="s">
        <v>161</v>
      </c>
      <c r="BS131" s="5" t="s">
        <v>119</v>
      </c>
      <c r="BT131" s="5">
        <v>1.0</v>
      </c>
      <c r="BU131" s="3" t="s">
        <v>1811</v>
      </c>
      <c r="BV131" s="5" t="s">
        <v>121</v>
      </c>
      <c r="BW131" s="5">
        <v>0.25</v>
      </c>
      <c r="BX131" s="3" t="s">
        <v>1812</v>
      </c>
      <c r="BY131" s="5" t="s">
        <v>123</v>
      </c>
      <c r="BZ131" s="5">
        <v>0.5</v>
      </c>
      <c r="CA131" s="3" t="s">
        <v>97</v>
      </c>
      <c r="CB131" s="3" t="s">
        <v>1813</v>
      </c>
      <c r="CC131" s="3" t="s">
        <v>97</v>
      </c>
      <c r="CD131" s="3" t="s">
        <v>1675</v>
      </c>
      <c r="CE131" s="3" t="s">
        <v>1814</v>
      </c>
      <c r="CF131" s="3" t="s">
        <v>97</v>
      </c>
      <c r="CG131" s="3" t="s">
        <v>1815</v>
      </c>
      <c r="CH131" s="3">
        <v>7.0</v>
      </c>
    </row>
    <row r="132" ht="14.25" customHeight="1">
      <c r="A132" s="3">
        <v>44752.2353288657</v>
      </c>
      <c r="B132" s="3" t="s">
        <v>86</v>
      </c>
      <c r="C132" s="3">
        <f t="shared" si="1"/>
        <v>1</v>
      </c>
      <c r="D132" s="3" t="s">
        <v>128</v>
      </c>
      <c r="E132" s="3" t="s">
        <v>129</v>
      </c>
      <c r="F132" s="3">
        <f t="shared" si="2"/>
        <v>3</v>
      </c>
      <c r="G132" s="3" t="s">
        <v>130</v>
      </c>
      <c r="H132" s="3" t="s">
        <v>90</v>
      </c>
      <c r="I132" s="3">
        <v>4.0</v>
      </c>
      <c r="J132" s="3" t="s">
        <v>317</v>
      </c>
      <c r="K132" s="3">
        <f t="shared" si="3"/>
        <v>2</v>
      </c>
      <c r="L132" s="3" t="s">
        <v>92</v>
      </c>
      <c r="M132" s="3">
        <f t="shared" si="4"/>
        <v>1</v>
      </c>
      <c r="N132" s="4"/>
      <c r="O132" s="3" t="s">
        <v>766</v>
      </c>
      <c r="P132" s="3" t="s">
        <v>1816</v>
      </c>
      <c r="Q132" s="3">
        <v>1.0</v>
      </c>
      <c r="R132" s="3">
        <v>0.0</v>
      </c>
      <c r="S132" s="3">
        <v>0.0</v>
      </c>
      <c r="T132" s="3">
        <v>0.0</v>
      </c>
      <c r="U132" s="3">
        <v>0.0</v>
      </c>
      <c r="V132" s="3">
        <v>1.0</v>
      </c>
      <c r="W132" s="3">
        <v>0.0</v>
      </c>
      <c r="X132" s="3">
        <v>1.0</v>
      </c>
      <c r="Y132" s="3">
        <v>0.0</v>
      </c>
      <c r="Z132" s="3">
        <v>0.0</v>
      </c>
      <c r="AA132" s="3">
        <v>0.0</v>
      </c>
      <c r="AB132" s="3">
        <v>0.0</v>
      </c>
      <c r="AC132" s="3">
        <v>0.0</v>
      </c>
      <c r="AD132" s="3" t="s">
        <v>1817</v>
      </c>
      <c r="AE132" s="5" t="s">
        <v>96</v>
      </c>
      <c r="AF132" s="5">
        <v>0.25</v>
      </c>
      <c r="AG132" s="3" t="s">
        <v>97</v>
      </c>
      <c r="AH132" s="3">
        <v>1.0</v>
      </c>
      <c r="AI132" s="3" t="s">
        <v>1383</v>
      </c>
      <c r="AJ132" s="5" t="s">
        <v>99</v>
      </c>
      <c r="AK132" s="5">
        <v>1.0</v>
      </c>
      <c r="AL132" s="3" t="s">
        <v>1818</v>
      </c>
      <c r="AM132" s="5" t="s">
        <v>101</v>
      </c>
      <c r="AN132" s="5">
        <v>0.5</v>
      </c>
      <c r="AO132" s="3" t="s">
        <v>97</v>
      </c>
      <c r="AP132" s="3">
        <v>1.0</v>
      </c>
      <c r="AQ132" s="3" t="s">
        <v>1819</v>
      </c>
      <c r="AR132" s="5" t="s">
        <v>103</v>
      </c>
      <c r="AS132" s="3">
        <v>1.0</v>
      </c>
      <c r="AT132" s="3" t="s">
        <v>1667</v>
      </c>
      <c r="AU132" s="5" t="s">
        <v>104</v>
      </c>
      <c r="AV132" s="5">
        <v>1.0</v>
      </c>
      <c r="AW132" s="3" t="s">
        <v>105</v>
      </c>
      <c r="AX132" s="5" t="s">
        <v>106</v>
      </c>
      <c r="AY132" s="5">
        <v>0.0</v>
      </c>
      <c r="AZ132" s="3" t="s">
        <v>1820</v>
      </c>
      <c r="BA132" s="5" t="s">
        <v>108</v>
      </c>
      <c r="BB132" s="5">
        <v>0.25</v>
      </c>
      <c r="BC132" s="3" t="s">
        <v>109</v>
      </c>
      <c r="BD132" s="5" t="s">
        <v>110</v>
      </c>
      <c r="BE132" s="3">
        <v>1.0</v>
      </c>
      <c r="BF132" s="3" t="s">
        <v>1821</v>
      </c>
      <c r="BG132" s="5" t="s">
        <v>112</v>
      </c>
      <c r="BH132" s="5">
        <v>0.5</v>
      </c>
      <c r="BI132" s="3" t="s">
        <v>105</v>
      </c>
      <c r="BJ132" s="5" t="s">
        <v>114</v>
      </c>
      <c r="BK132" s="5">
        <v>1.0</v>
      </c>
      <c r="BL132" s="3" t="s">
        <v>457</v>
      </c>
      <c r="BM132" s="5" t="s">
        <v>116</v>
      </c>
      <c r="BN132" s="5">
        <v>0.25</v>
      </c>
      <c r="BO132" s="3" t="s">
        <v>117</v>
      </c>
      <c r="BP132" s="3"/>
      <c r="BQ132" s="3">
        <v>1.0</v>
      </c>
      <c r="BR132" s="3" t="s">
        <v>297</v>
      </c>
      <c r="BS132" s="5" t="s">
        <v>119</v>
      </c>
      <c r="BT132" s="5">
        <v>0.5</v>
      </c>
      <c r="BU132" s="3" t="s">
        <v>1822</v>
      </c>
      <c r="BV132" s="5" t="s">
        <v>121</v>
      </c>
      <c r="BW132" s="5">
        <v>0.0</v>
      </c>
      <c r="BX132" s="3" t="s">
        <v>1823</v>
      </c>
      <c r="BY132" s="5" t="s">
        <v>123</v>
      </c>
      <c r="BZ132" s="5">
        <v>0.5</v>
      </c>
      <c r="CA132" s="3" t="s">
        <v>97</v>
      </c>
      <c r="CB132" s="3" t="s">
        <v>1824</v>
      </c>
      <c r="CC132" s="3" t="s">
        <v>97</v>
      </c>
      <c r="CD132" s="3" t="s">
        <v>125</v>
      </c>
      <c r="CE132" s="3" t="s">
        <v>105</v>
      </c>
      <c r="CF132" s="3" t="s">
        <v>97</v>
      </c>
      <c r="CG132" s="3" t="s">
        <v>1825</v>
      </c>
      <c r="CH132" s="3">
        <v>7.0</v>
      </c>
    </row>
    <row r="133" ht="14.25" customHeight="1">
      <c r="A133" s="3">
        <v>44752.2420891088</v>
      </c>
      <c r="B133" s="3" t="s">
        <v>149</v>
      </c>
      <c r="C133" s="3">
        <f t="shared" si="1"/>
        <v>0</v>
      </c>
      <c r="D133" s="3" t="s">
        <v>128</v>
      </c>
      <c r="E133" s="3" t="s">
        <v>129</v>
      </c>
      <c r="F133" s="3">
        <f t="shared" si="2"/>
        <v>3</v>
      </c>
      <c r="G133" s="3" t="s">
        <v>724</v>
      </c>
      <c r="H133" s="3" t="s">
        <v>90</v>
      </c>
      <c r="I133" s="3">
        <v>4.0</v>
      </c>
      <c r="J133" s="3" t="s">
        <v>317</v>
      </c>
      <c r="K133" s="3">
        <f t="shared" si="3"/>
        <v>2</v>
      </c>
      <c r="L133" s="3" t="s">
        <v>92</v>
      </c>
      <c r="M133" s="3">
        <f t="shared" si="4"/>
        <v>1</v>
      </c>
      <c r="N133" s="4"/>
      <c r="O133" s="3" t="s">
        <v>766</v>
      </c>
      <c r="P133" s="3" t="s">
        <v>1826</v>
      </c>
      <c r="Q133" s="3">
        <v>1.0</v>
      </c>
      <c r="R133" s="3">
        <v>1.0</v>
      </c>
      <c r="S133" s="3">
        <v>0.0</v>
      </c>
      <c r="T133" s="3">
        <v>0.0</v>
      </c>
      <c r="U133" s="3">
        <v>0.0</v>
      </c>
      <c r="V133" s="3">
        <v>1.0</v>
      </c>
      <c r="W133" s="3">
        <v>1.0</v>
      </c>
      <c r="X133" s="3">
        <v>1.0</v>
      </c>
      <c r="Y133" s="3">
        <v>0.0</v>
      </c>
      <c r="Z133" s="3">
        <v>1.0</v>
      </c>
      <c r="AA133" s="3">
        <v>1.0</v>
      </c>
      <c r="AB133" s="3">
        <v>0.0</v>
      </c>
      <c r="AC133" s="3">
        <v>0.0</v>
      </c>
      <c r="AD133" s="3" t="s">
        <v>1827</v>
      </c>
      <c r="AE133" s="5" t="s">
        <v>96</v>
      </c>
      <c r="AF133" s="5">
        <v>0.25</v>
      </c>
      <c r="AG133" s="3" t="s">
        <v>97</v>
      </c>
      <c r="AH133" s="3">
        <v>1.0</v>
      </c>
      <c r="AI133" s="3" t="s">
        <v>1383</v>
      </c>
      <c r="AJ133" s="5" t="s">
        <v>99</v>
      </c>
      <c r="AK133" s="5">
        <v>1.0</v>
      </c>
      <c r="AL133" s="3" t="s">
        <v>1828</v>
      </c>
      <c r="AM133" s="5" t="s">
        <v>101</v>
      </c>
      <c r="AN133" s="5">
        <v>0.75</v>
      </c>
      <c r="AO133" s="3" t="s">
        <v>97</v>
      </c>
      <c r="AP133" s="3">
        <v>1.0</v>
      </c>
      <c r="AQ133" s="3" t="s">
        <v>1829</v>
      </c>
      <c r="AR133" s="5" t="s">
        <v>103</v>
      </c>
      <c r="AS133" s="3">
        <v>1.0</v>
      </c>
      <c r="AT133" s="3" t="s">
        <v>1667</v>
      </c>
      <c r="AU133" s="5" t="s">
        <v>104</v>
      </c>
      <c r="AV133" s="5">
        <v>1.0</v>
      </c>
      <c r="AW133" s="3" t="s">
        <v>105</v>
      </c>
      <c r="AX133" s="5" t="s">
        <v>106</v>
      </c>
      <c r="AY133" s="5">
        <v>0.0</v>
      </c>
      <c r="AZ133" s="3" t="s">
        <v>223</v>
      </c>
      <c r="BA133" s="5" t="s">
        <v>108</v>
      </c>
      <c r="BB133" s="5">
        <v>0.5</v>
      </c>
      <c r="BC133" s="3" t="s">
        <v>109</v>
      </c>
      <c r="BD133" s="5" t="s">
        <v>110</v>
      </c>
      <c r="BE133" s="3">
        <v>1.0</v>
      </c>
      <c r="BF133" s="3" t="s">
        <v>1830</v>
      </c>
      <c r="BG133" s="5" t="s">
        <v>112</v>
      </c>
      <c r="BH133" s="5">
        <v>0.5</v>
      </c>
      <c r="BI133" s="3" t="s">
        <v>105</v>
      </c>
      <c r="BJ133" s="5" t="s">
        <v>114</v>
      </c>
      <c r="BK133" s="5">
        <v>1.0</v>
      </c>
      <c r="BL133" s="3" t="s">
        <v>457</v>
      </c>
      <c r="BM133" s="5" t="s">
        <v>116</v>
      </c>
      <c r="BN133" s="5">
        <v>1.0</v>
      </c>
      <c r="BO133" s="3" t="s">
        <v>117</v>
      </c>
      <c r="BP133" s="3"/>
      <c r="BQ133" s="3">
        <v>1.0</v>
      </c>
      <c r="BR133" s="3" t="s">
        <v>161</v>
      </c>
      <c r="BS133" s="5" t="s">
        <v>119</v>
      </c>
      <c r="BT133" s="5">
        <v>1.0</v>
      </c>
      <c r="BU133" s="3" t="s">
        <v>1831</v>
      </c>
      <c r="BV133" s="5" t="s">
        <v>121</v>
      </c>
      <c r="BW133" s="5">
        <v>0.0</v>
      </c>
      <c r="BX133" s="3" t="s">
        <v>1832</v>
      </c>
      <c r="BY133" s="5" t="s">
        <v>123</v>
      </c>
      <c r="BZ133" s="5">
        <v>0.5</v>
      </c>
      <c r="CA133" s="3" t="s">
        <v>97</v>
      </c>
      <c r="CB133" s="3" t="s">
        <v>1833</v>
      </c>
      <c r="CC133" s="3" t="s">
        <v>97</v>
      </c>
      <c r="CD133" s="3" t="s">
        <v>125</v>
      </c>
      <c r="CE133" s="3" t="s">
        <v>105</v>
      </c>
      <c r="CF133" s="3" t="s">
        <v>97</v>
      </c>
      <c r="CG133" s="3" t="s">
        <v>1834</v>
      </c>
      <c r="CH133" s="3">
        <v>7.0</v>
      </c>
    </row>
    <row r="134" ht="14.25" customHeight="1">
      <c r="A134" s="3">
        <v>44752.2492177546</v>
      </c>
      <c r="B134" s="3" t="s">
        <v>86</v>
      </c>
      <c r="C134" s="3">
        <f t="shared" si="1"/>
        <v>1</v>
      </c>
      <c r="D134" s="3" t="s">
        <v>128</v>
      </c>
      <c r="E134" s="3" t="s">
        <v>129</v>
      </c>
      <c r="F134" s="3">
        <f t="shared" si="2"/>
        <v>3</v>
      </c>
      <c r="G134" s="3" t="s">
        <v>130</v>
      </c>
      <c r="H134" s="3" t="s">
        <v>395</v>
      </c>
      <c r="I134" s="3">
        <v>2.0</v>
      </c>
      <c r="J134" s="3" t="s">
        <v>317</v>
      </c>
      <c r="K134" s="3">
        <f t="shared" si="3"/>
        <v>2</v>
      </c>
      <c r="L134" s="3" t="s">
        <v>92</v>
      </c>
      <c r="M134" s="3">
        <f t="shared" si="4"/>
        <v>1</v>
      </c>
      <c r="N134" s="4"/>
      <c r="O134" s="3" t="s">
        <v>766</v>
      </c>
      <c r="P134" s="3" t="s">
        <v>1835</v>
      </c>
      <c r="Q134" s="3">
        <v>0.0</v>
      </c>
      <c r="R134" s="3">
        <v>0.0</v>
      </c>
      <c r="S134" s="3">
        <v>0.0</v>
      </c>
      <c r="T134" s="3">
        <v>1.0</v>
      </c>
      <c r="U134" s="3">
        <v>1.0</v>
      </c>
      <c r="V134" s="3">
        <v>0.0</v>
      </c>
      <c r="W134" s="3">
        <v>0.0</v>
      </c>
      <c r="X134" s="3">
        <v>0.0</v>
      </c>
      <c r="Y134" s="3">
        <v>0.0</v>
      </c>
      <c r="Z134" s="3">
        <v>0.0</v>
      </c>
      <c r="AA134" s="3">
        <v>0.0</v>
      </c>
      <c r="AB134" s="3">
        <v>0.0</v>
      </c>
      <c r="AC134" s="3">
        <v>0.0</v>
      </c>
      <c r="AD134" s="3" t="s">
        <v>1836</v>
      </c>
      <c r="AE134" s="5" t="s">
        <v>96</v>
      </c>
      <c r="AF134" s="5">
        <v>0.25</v>
      </c>
      <c r="AG134" s="3" t="s">
        <v>97</v>
      </c>
      <c r="AH134" s="3">
        <v>1.0</v>
      </c>
      <c r="AI134" s="3" t="s">
        <v>1383</v>
      </c>
      <c r="AJ134" s="5" t="s">
        <v>99</v>
      </c>
      <c r="AK134" s="5">
        <v>1.0</v>
      </c>
      <c r="AL134" s="3" t="s">
        <v>1001</v>
      </c>
      <c r="AM134" s="5" t="s">
        <v>101</v>
      </c>
      <c r="AN134" s="5">
        <v>0.25</v>
      </c>
      <c r="AO134" s="3" t="s">
        <v>97</v>
      </c>
      <c r="AP134" s="3">
        <v>1.0</v>
      </c>
      <c r="AQ134" s="3" t="s">
        <v>1307</v>
      </c>
      <c r="AR134" s="5" t="s">
        <v>103</v>
      </c>
      <c r="AS134" s="3">
        <v>1.0</v>
      </c>
      <c r="AT134" s="3" t="s">
        <v>94</v>
      </c>
      <c r="AU134" s="5" t="s">
        <v>104</v>
      </c>
      <c r="AV134" s="5">
        <v>1.0</v>
      </c>
      <c r="AW134" s="3" t="s">
        <v>1837</v>
      </c>
      <c r="AX134" s="5" t="s">
        <v>106</v>
      </c>
      <c r="AY134" s="5">
        <v>1.0</v>
      </c>
      <c r="AZ134" s="3" t="s">
        <v>1170</v>
      </c>
      <c r="BA134" s="5" t="s">
        <v>108</v>
      </c>
      <c r="BB134" s="5">
        <v>0.5</v>
      </c>
      <c r="BC134" s="3" t="s">
        <v>1838</v>
      </c>
      <c r="BD134" s="5" t="s">
        <v>110</v>
      </c>
      <c r="BE134" s="3">
        <v>0.0</v>
      </c>
      <c r="BF134" s="3" t="s">
        <v>1839</v>
      </c>
      <c r="BG134" s="5" t="s">
        <v>112</v>
      </c>
      <c r="BH134" s="5">
        <v>0.0</v>
      </c>
      <c r="BI134" s="3" t="s">
        <v>105</v>
      </c>
      <c r="BJ134" s="5" t="s">
        <v>114</v>
      </c>
      <c r="BK134" s="5">
        <v>1.0</v>
      </c>
      <c r="BL134" s="3" t="s">
        <v>1840</v>
      </c>
      <c r="BM134" s="5" t="s">
        <v>116</v>
      </c>
      <c r="BN134" s="5">
        <v>0.25</v>
      </c>
      <c r="BO134" s="3" t="s">
        <v>211</v>
      </c>
      <c r="BP134" s="3"/>
      <c r="BQ134" s="3">
        <v>1.0</v>
      </c>
      <c r="BR134" s="3" t="s">
        <v>297</v>
      </c>
      <c r="BS134" s="5" t="s">
        <v>119</v>
      </c>
      <c r="BT134" s="5">
        <v>0.5</v>
      </c>
      <c r="BU134" s="3" t="s">
        <v>1841</v>
      </c>
      <c r="BV134" s="5" t="s">
        <v>121</v>
      </c>
      <c r="BW134" s="5">
        <v>0.25</v>
      </c>
      <c r="BX134" s="3" t="s">
        <v>1842</v>
      </c>
      <c r="BY134" s="5" t="s">
        <v>123</v>
      </c>
      <c r="BZ134" s="5">
        <v>0.5</v>
      </c>
      <c r="CA134" s="3" t="s">
        <v>97</v>
      </c>
      <c r="CB134" s="3" t="s">
        <v>1843</v>
      </c>
      <c r="CC134" s="3" t="s">
        <v>97</v>
      </c>
      <c r="CD134" s="3" t="s">
        <v>125</v>
      </c>
      <c r="CE134" s="3" t="s">
        <v>1021</v>
      </c>
      <c r="CF134" s="3" t="s">
        <v>97</v>
      </c>
      <c r="CG134" s="3" t="s">
        <v>1021</v>
      </c>
      <c r="CH134" s="3">
        <v>6.0</v>
      </c>
    </row>
    <row r="135" ht="14.25" customHeight="1">
      <c r="A135" s="3">
        <v>44752.2523310301</v>
      </c>
      <c r="B135" s="3" t="s">
        <v>86</v>
      </c>
      <c r="C135" s="3">
        <f t="shared" si="1"/>
        <v>1</v>
      </c>
      <c r="D135" s="3" t="s">
        <v>128</v>
      </c>
      <c r="E135" s="3" t="s">
        <v>129</v>
      </c>
      <c r="F135" s="3">
        <f t="shared" si="2"/>
        <v>3</v>
      </c>
      <c r="G135" s="3" t="s">
        <v>130</v>
      </c>
      <c r="H135" s="3" t="s">
        <v>90</v>
      </c>
      <c r="I135" s="3">
        <v>4.0</v>
      </c>
      <c r="J135" s="3" t="s">
        <v>91</v>
      </c>
      <c r="K135" s="3">
        <f t="shared" si="3"/>
        <v>1</v>
      </c>
      <c r="L135" s="3" t="s">
        <v>92</v>
      </c>
      <c r="M135" s="3">
        <f t="shared" si="4"/>
        <v>1</v>
      </c>
      <c r="N135" s="4"/>
      <c r="O135" s="3" t="s">
        <v>766</v>
      </c>
      <c r="P135" s="3" t="s">
        <v>1844</v>
      </c>
      <c r="Q135" s="3">
        <v>0.0</v>
      </c>
      <c r="R135" s="3">
        <v>0.0</v>
      </c>
      <c r="S135" s="3">
        <v>0.0</v>
      </c>
      <c r="T135" s="3">
        <v>0.0</v>
      </c>
      <c r="U135" s="3">
        <v>0.0</v>
      </c>
      <c r="V135" s="3">
        <v>0.0</v>
      </c>
      <c r="W135" s="3">
        <v>1.0</v>
      </c>
      <c r="X135" s="3">
        <v>1.0</v>
      </c>
      <c r="Y135" s="3">
        <v>0.0</v>
      </c>
      <c r="Z135" s="3">
        <v>0.0</v>
      </c>
      <c r="AA135" s="3">
        <v>0.0</v>
      </c>
      <c r="AB135" s="3">
        <v>0.0</v>
      </c>
      <c r="AC135" s="3">
        <v>0.0</v>
      </c>
      <c r="AD135" s="3" t="s">
        <v>1845</v>
      </c>
      <c r="AE135" s="5" t="s">
        <v>96</v>
      </c>
      <c r="AF135" s="5">
        <v>0.25</v>
      </c>
      <c r="AG135" s="3" t="s">
        <v>97</v>
      </c>
      <c r="AH135" s="3">
        <v>1.0</v>
      </c>
      <c r="AI135" s="3" t="s">
        <v>768</v>
      </c>
      <c r="AJ135" s="5" t="s">
        <v>99</v>
      </c>
      <c r="AK135" s="5">
        <v>1.0</v>
      </c>
      <c r="AL135" s="3" t="s">
        <v>1846</v>
      </c>
      <c r="AM135" s="5" t="s">
        <v>101</v>
      </c>
      <c r="AN135" s="5">
        <v>0.5</v>
      </c>
      <c r="AO135" s="3" t="s">
        <v>97</v>
      </c>
      <c r="AP135" s="3">
        <v>1.0</v>
      </c>
      <c r="AQ135" s="3" t="s">
        <v>1847</v>
      </c>
      <c r="AR135" s="5" t="s">
        <v>103</v>
      </c>
      <c r="AS135" s="3">
        <v>1.0</v>
      </c>
      <c r="AT135" s="3" t="s">
        <v>94</v>
      </c>
      <c r="AU135" s="5" t="s">
        <v>104</v>
      </c>
      <c r="AV135" s="5">
        <v>1.0</v>
      </c>
      <c r="AW135" s="3" t="s">
        <v>1848</v>
      </c>
      <c r="AX135" s="5" t="s">
        <v>106</v>
      </c>
      <c r="AY135" s="5">
        <v>0.25</v>
      </c>
      <c r="AZ135" s="3" t="s">
        <v>1849</v>
      </c>
      <c r="BA135" s="5" t="s">
        <v>108</v>
      </c>
      <c r="BB135" s="5">
        <v>0.5</v>
      </c>
      <c r="BC135" s="3" t="s">
        <v>109</v>
      </c>
      <c r="BD135" s="5" t="s">
        <v>110</v>
      </c>
      <c r="BE135" s="3">
        <v>1.0</v>
      </c>
      <c r="BF135" s="3" t="s">
        <v>1850</v>
      </c>
      <c r="BG135" s="5" t="s">
        <v>112</v>
      </c>
      <c r="BH135" s="5">
        <v>0.5</v>
      </c>
      <c r="BI135" s="3" t="s">
        <v>105</v>
      </c>
      <c r="BJ135" s="5" t="s">
        <v>114</v>
      </c>
      <c r="BK135" s="5">
        <v>1.0</v>
      </c>
      <c r="BL135" s="3" t="s">
        <v>457</v>
      </c>
      <c r="BM135" s="5" t="s">
        <v>116</v>
      </c>
      <c r="BN135" s="5">
        <v>0.25</v>
      </c>
      <c r="BO135" s="3" t="s">
        <v>211</v>
      </c>
      <c r="BP135" s="3"/>
      <c r="BQ135" s="3">
        <v>1.0</v>
      </c>
      <c r="BR135" s="3" t="s">
        <v>363</v>
      </c>
      <c r="BS135" s="5" t="s">
        <v>119</v>
      </c>
      <c r="BT135" s="5">
        <v>1.0</v>
      </c>
      <c r="BU135" s="3" t="s">
        <v>1851</v>
      </c>
      <c r="BV135" s="5" t="s">
        <v>121</v>
      </c>
      <c r="BW135" s="5">
        <v>0.0</v>
      </c>
      <c r="BX135" s="3" t="s">
        <v>1852</v>
      </c>
      <c r="BY135" s="5" t="s">
        <v>123</v>
      </c>
      <c r="BZ135" s="5">
        <v>0.5</v>
      </c>
      <c r="CA135" s="3" t="s">
        <v>97</v>
      </c>
      <c r="CB135" s="3" t="s">
        <v>1853</v>
      </c>
      <c r="CC135" s="3" t="s">
        <v>97</v>
      </c>
      <c r="CD135" s="3" t="s">
        <v>125</v>
      </c>
      <c r="CE135" s="3" t="s">
        <v>1854</v>
      </c>
      <c r="CF135" s="3" t="s">
        <v>97</v>
      </c>
      <c r="CG135" s="3" t="s">
        <v>1855</v>
      </c>
      <c r="CH135" s="3">
        <v>6.0</v>
      </c>
    </row>
    <row r="136" ht="14.25" customHeight="1">
      <c r="A136" s="3">
        <v>44752.2858774769</v>
      </c>
      <c r="B136" s="3" t="s">
        <v>86</v>
      </c>
      <c r="C136" s="3">
        <f t="shared" si="1"/>
        <v>1</v>
      </c>
      <c r="D136" s="3" t="s">
        <v>87</v>
      </c>
      <c r="E136" s="3" t="s">
        <v>88</v>
      </c>
      <c r="F136" s="3">
        <f t="shared" si="2"/>
        <v>1</v>
      </c>
      <c r="G136" s="3" t="s">
        <v>724</v>
      </c>
      <c r="H136" s="3" t="s">
        <v>1678</v>
      </c>
      <c r="I136" s="3">
        <v>4.0</v>
      </c>
      <c r="J136" s="3" t="s">
        <v>317</v>
      </c>
      <c r="K136" s="3">
        <f t="shared" si="3"/>
        <v>2</v>
      </c>
      <c r="L136" s="3" t="s">
        <v>92</v>
      </c>
      <c r="M136" s="3">
        <f t="shared" si="4"/>
        <v>1</v>
      </c>
      <c r="N136" s="4"/>
      <c r="O136" s="3" t="s">
        <v>766</v>
      </c>
      <c r="P136" s="3" t="s">
        <v>1856</v>
      </c>
      <c r="Q136" s="3">
        <v>0.0</v>
      </c>
      <c r="R136" s="3">
        <v>0.0</v>
      </c>
      <c r="S136" s="3">
        <v>0.0</v>
      </c>
      <c r="T136" s="3">
        <v>1.0</v>
      </c>
      <c r="U136" s="3">
        <v>1.0</v>
      </c>
      <c r="V136" s="3">
        <v>1.0</v>
      </c>
      <c r="W136" s="3">
        <v>0.0</v>
      </c>
      <c r="X136" s="3">
        <v>0.0</v>
      </c>
      <c r="Y136" s="3">
        <v>0.0</v>
      </c>
      <c r="Z136" s="3">
        <v>0.0</v>
      </c>
      <c r="AA136" s="3">
        <v>0.0</v>
      </c>
      <c r="AB136" s="3">
        <v>0.0</v>
      </c>
      <c r="AC136" s="3">
        <v>0.0</v>
      </c>
      <c r="AD136" s="3" t="s">
        <v>1857</v>
      </c>
      <c r="AE136" s="5" t="s">
        <v>96</v>
      </c>
      <c r="AF136" s="5">
        <v>0.25</v>
      </c>
      <c r="AG136" s="3" t="s">
        <v>97</v>
      </c>
      <c r="AH136" s="3">
        <v>1.0</v>
      </c>
      <c r="AI136" s="3" t="s">
        <v>1858</v>
      </c>
      <c r="AJ136" s="5" t="s">
        <v>99</v>
      </c>
      <c r="AK136" s="5">
        <v>1.0</v>
      </c>
      <c r="AL136" s="3" t="s">
        <v>1859</v>
      </c>
      <c r="AM136" s="5" t="s">
        <v>101</v>
      </c>
      <c r="AN136" s="5">
        <v>0.75</v>
      </c>
      <c r="AO136" s="3" t="s">
        <v>97</v>
      </c>
      <c r="AP136" s="3">
        <v>1.0</v>
      </c>
      <c r="AQ136" s="3" t="s">
        <v>1860</v>
      </c>
      <c r="AR136" s="5" t="s">
        <v>103</v>
      </c>
      <c r="AS136" s="3">
        <v>0.0</v>
      </c>
      <c r="AT136" s="3" t="s">
        <v>94</v>
      </c>
      <c r="AU136" s="5" t="s">
        <v>104</v>
      </c>
      <c r="AV136" s="5">
        <v>1.0</v>
      </c>
      <c r="AW136" s="3" t="s">
        <v>1861</v>
      </c>
      <c r="AX136" s="5" t="s">
        <v>106</v>
      </c>
      <c r="AY136" s="5">
        <v>0.5</v>
      </c>
      <c r="AZ136" s="3" t="s">
        <v>1862</v>
      </c>
      <c r="BA136" s="5" t="s">
        <v>108</v>
      </c>
      <c r="BB136" s="5">
        <v>0.5</v>
      </c>
      <c r="BC136" s="3" t="s">
        <v>109</v>
      </c>
      <c r="BD136" s="5" t="s">
        <v>110</v>
      </c>
      <c r="BE136" s="3">
        <v>1.0</v>
      </c>
      <c r="BF136" s="3" t="s">
        <v>1863</v>
      </c>
      <c r="BG136" s="5" t="s">
        <v>112</v>
      </c>
      <c r="BH136" s="5">
        <v>0.75</v>
      </c>
      <c r="BI136" s="3" t="s">
        <v>105</v>
      </c>
      <c r="BJ136" s="5" t="s">
        <v>114</v>
      </c>
      <c r="BK136" s="5">
        <v>1.0</v>
      </c>
      <c r="BL136" s="3" t="s">
        <v>115</v>
      </c>
      <c r="BM136" s="5" t="s">
        <v>116</v>
      </c>
      <c r="BN136" s="5">
        <v>0.25</v>
      </c>
      <c r="BO136" s="3" t="s">
        <v>117</v>
      </c>
      <c r="BP136" s="3"/>
      <c r="BQ136" s="3">
        <v>1.0</v>
      </c>
      <c r="BR136" s="3" t="s">
        <v>1403</v>
      </c>
      <c r="BS136" s="5" t="s">
        <v>119</v>
      </c>
      <c r="BT136" s="5">
        <v>0.75</v>
      </c>
      <c r="BU136" s="3" t="s">
        <v>1864</v>
      </c>
      <c r="BV136" s="5" t="s">
        <v>121</v>
      </c>
      <c r="BW136" s="5">
        <v>0.0</v>
      </c>
      <c r="BX136" s="3" t="s">
        <v>1865</v>
      </c>
      <c r="BY136" s="5" t="s">
        <v>123</v>
      </c>
      <c r="BZ136" s="5">
        <v>0.75</v>
      </c>
      <c r="CA136" s="3" t="s">
        <v>97</v>
      </c>
      <c r="CB136" s="3" t="s">
        <v>1866</v>
      </c>
      <c r="CC136" s="3" t="s">
        <v>97</v>
      </c>
      <c r="CD136" s="3" t="s">
        <v>125</v>
      </c>
      <c r="CE136" s="3" t="s">
        <v>105</v>
      </c>
      <c r="CF136" s="3" t="s">
        <v>97</v>
      </c>
      <c r="CG136" s="3" t="s">
        <v>1867</v>
      </c>
      <c r="CH136" s="3">
        <v>6.0</v>
      </c>
    </row>
    <row r="137" ht="14.25" customHeight="1">
      <c r="A137" s="3">
        <v>44752.4446400694</v>
      </c>
      <c r="B137" s="3" t="s">
        <v>86</v>
      </c>
      <c r="C137" s="3">
        <f t="shared" si="1"/>
        <v>1</v>
      </c>
      <c r="D137" s="3" t="s">
        <v>169</v>
      </c>
      <c r="E137" s="3" t="s">
        <v>170</v>
      </c>
      <c r="F137" s="3">
        <f t="shared" si="2"/>
        <v>2</v>
      </c>
      <c r="G137" s="3" t="s">
        <v>1692</v>
      </c>
      <c r="H137" s="3" t="s">
        <v>90</v>
      </c>
      <c r="I137" s="3">
        <v>4.0</v>
      </c>
      <c r="J137" s="3" t="s">
        <v>317</v>
      </c>
      <c r="K137" s="3">
        <f t="shared" si="3"/>
        <v>2</v>
      </c>
      <c r="L137" s="3" t="s">
        <v>92</v>
      </c>
      <c r="M137" s="3">
        <f t="shared" si="4"/>
        <v>1</v>
      </c>
      <c r="N137" s="4"/>
      <c r="O137" s="3" t="s">
        <v>766</v>
      </c>
      <c r="P137" s="3" t="s">
        <v>1868</v>
      </c>
      <c r="Q137" s="3">
        <v>1.0</v>
      </c>
      <c r="R137" s="3">
        <v>0.0</v>
      </c>
      <c r="S137" s="3">
        <v>1.0</v>
      </c>
      <c r="T137" s="3">
        <v>0.0</v>
      </c>
      <c r="U137" s="3">
        <v>0.0</v>
      </c>
      <c r="V137" s="3">
        <v>1.0</v>
      </c>
      <c r="W137" s="3">
        <v>0.0</v>
      </c>
      <c r="X137" s="3">
        <v>0.0</v>
      </c>
      <c r="Y137" s="3">
        <v>1.0</v>
      </c>
      <c r="Z137" s="3">
        <v>1.0</v>
      </c>
      <c r="AA137" s="3">
        <v>1.0</v>
      </c>
      <c r="AB137" s="3">
        <v>0.0</v>
      </c>
      <c r="AC137" s="3">
        <v>0.0</v>
      </c>
      <c r="AD137" s="3" t="s">
        <v>1869</v>
      </c>
      <c r="AE137" s="5" t="s">
        <v>96</v>
      </c>
      <c r="AF137" s="5">
        <v>0.25</v>
      </c>
      <c r="AG137" s="3" t="s">
        <v>97</v>
      </c>
      <c r="AH137" s="3">
        <v>1.0</v>
      </c>
      <c r="AI137" s="3" t="s">
        <v>779</v>
      </c>
      <c r="AJ137" s="5" t="s">
        <v>99</v>
      </c>
      <c r="AK137" s="5">
        <v>1.0</v>
      </c>
      <c r="AL137" s="3" t="s">
        <v>1870</v>
      </c>
      <c r="AM137" s="5" t="s">
        <v>101</v>
      </c>
      <c r="AN137" s="5">
        <v>0.75</v>
      </c>
      <c r="AO137" s="3" t="s">
        <v>97</v>
      </c>
      <c r="AP137" s="3">
        <v>1.0</v>
      </c>
      <c r="AQ137" s="3" t="s">
        <v>1871</v>
      </c>
      <c r="AR137" s="5" t="s">
        <v>103</v>
      </c>
      <c r="AS137" s="3">
        <v>0.0</v>
      </c>
      <c r="AT137" s="3" t="s">
        <v>1667</v>
      </c>
      <c r="AU137" s="5" t="s">
        <v>104</v>
      </c>
      <c r="AV137" s="5">
        <v>1.0</v>
      </c>
      <c r="AW137" s="3" t="s">
        <v>105</v>
      </c>
      <c r="AX137" s="5" t="s">
        <v>106</v>
      </c>
      <c r="AY137" s="5">
        <v>0.0</v>
      </c>
      <c r="AZ137" s="3" t="s">
        <v>1872</v>
      </c>
      <c r="BA137" s="5" t="s">
        <v>108</v>
      </c>
      <c r="BB137" s="5">
        <v>1.0</v>
      </c>
      <c r="BC137" s="3" t="s">
        <v>109</v>
      </c>
      <c r="BD137" s="5" t="s">
        <v>110</v>
      </c>
      <c r="BE137" s="3">
        <v>1.0</v>
      </c>
      <c r="BF137" s="3" t="s">
        <v>1873</v>
      </c>
      <c r="BG137" s="5" t="s">
        <v>112</v>
      </c>
      <c r="BH137" s="5">
        <v>0.5</v>
      </c>
      <c r="BI137" s="3" t="s">
        <v>105</v>
      </c>
      <c r="BJ137" s="5" t="s">
        <v>114</v>
      </c>
      <c r="BK137" s="5">
        <v>1.0</v>
      </c>
      <c r="BL137" s="3" t="s">
        <v>574</v>
      </c>
      <c r="BM137" s="5" t="s">
        <v>116</v>
      </c>
      <c r="BN137" s="5">
        <v>0.25</v>
      </c>
      <c r="BO137" s="3" t="s">
        <v>117</v>
      </c>
      <c r="BP137" s="3"/>
      <c r="BQ137" s="3">
        <v>1.0</v>
      </c>
      <c r="BR137" s="3" t="s">
        <v>161</v>
      </c>
      <c r="BS137" s="5" t="s">
        <v>119</v>
      </c>
      <c r="BT137" s="5">
        <v>1.0</v>
      </c>
      <c r="BU137" s="3" t="s">
        <v>1874</v>
      </c>
      <c r="BV137" s="5" t="s">
        <v>121</v>
      </c>
      <c r="BW137" s="5">
        <v>0.5</v>
      </c>
      <c r="BX137" s="3" t="s">
        <v>1875</v>
      </c>
      <c r="BY137" s="5" t="s">
        <v>123</v>
      </c>
      <c r="BZ137" s="5">
        <v>0.5</v>
      </c>
      <c r="CA137" s="3" t="s">
        <v>97</v>
      </c>
      <c r="CB137" s="3" t="s">
        <v>1876</v>
      </c>
      <c r="CC137" s="3" t="s">
        <v>97</v>
      </c>
      <c r="CD137" s="3" t="s">
        <v>125</v>
      </c>
      <c r="CE137" s="3" t="s">
        <v>1877</v>
      </c>
      <c r="CF137" s="3" t="s">
        <v>97</v>
      </c>
      <c r="CG137" s="3" t="s">
        <v>1878</v>
      </c>
      <c r="CH137" s="3">
        <v>5.0</v>
      </c>
    </row>
    <row r="138" ht="14.25" customHeight="1">
      <c r="A138" s="3">
        <v>44752.7912478356</v>
      </c>
      <c r="B138" s="3" t="s">
        <v>86</v>
      </c>
      <c r="C138" s="3">
        <f t="shared" si="1"/>
        <v>1</v>
      </c>
      <c r="D138" s="3" t="s">
        <v>128</v>
      </c>
      <c r="E138" s="3" t="s">
        <v>129</v>
      </c>
      <c r="F138" s="3">
        <f t="shared" si="2"/>
        <v>3</v>
      </c>
      <c r="G138" s="3" t="s">
        <v>881</v>
      </c>
      <c r="H138" s="3" t="s">
        <v>217</v>
      </c>
      <c r="I138" s="3">
        <v>3.0</v>
      </c>
      <c r="J138" s="3" t="s">
        <v>317</v>
      </c>
      <c r="K138" s="3">
        <f t="shared" si="3"/>
        <v>2</v>
      </c>
      <c r="L138" s="3" t="s">
        <v>92</v>
      </c>
      <c r="M138" s="3">
        <f t="shared" si="4"/>
        <v>1</v>
      </c>
      <c r="N138" s="4"/>
      <c r="O138" s="3" t="s">
        <v>766</v>
      </c>
      <c r="P138" s="3" t="s">
        <v>1879</v>
      </c>
      <c r="Q138" s="3">
        <v>1.0</v>
      </c>
      <c r="R138" s="3">
        <v>0.0</v>
      </c>
      <c r="S138" s="3">
        <v>0.0</v>
      </c>
      <c r="T138" s="3">
        <v>0.0</v>
      </c>
      <c r="U138" s="3">
        <v>0.0</v>
      </c>
      <c r="V138" s="3">
        <v>1.0</v>
      </c>
      <c r="W138" s="3">
        <v>1.0</v>
      </c>
      <c r="X138" s="3">
        <v>0.0</v>
      </c>
      <c r="Y138" s="3">
        <v>0.0</v>
      </c>
      <c r="Z138" s="3">
        <v>1.0</v>
      </c>
      <c r="AA138" s="3">
        <v>0.0</v>
      </c>
      <c r="AB138" s="3">
        <v>0.0</v>
      </c>
      <c r="AC138" s="3">
        <v>0.0</v>
      </c>
      <c r="AD138" s="3" t="s">
        <v>1880</v>
      </c>
      <c r="AE138" s="5" t="s">
        <v>96</v>
      </c>
      <c r="AF138" s="5">
        <v>0.5</v>
      </c>
      <c r="AG138" s="3" t="s">
        <v>97</v>
      </c>
      <c r="AH138" s="3">
        <v>1.0</v>
      </c>
      <c r="AI138" s="3" t="s">
        <v>807</v>
      </c>
      <c r="AJ138" s="5" t="s">
        <v>99</v>
      </c>
      <c r="AK138" s="5">
        <v>1.0</v>
      </c>
      <c r="AL138" s="3" t="s">
        <v>1881</v>
      </c>
      <c r="AM138" s="5" t="s">
        <v>101</v>
      </c>
      <c r="AN138" s="5">
        <v>1.0</v>
      </c>
      <c r="AO138" s="3" t="s">
        <v>97</v>
      </c>
      <c r="AP138" s="3">
        <v>1.0</v>
      </c>
      <c r="AQ138" s="3" t="s">
        <v>1882</v>
      </c>
      <c r="AR138" s="5" t="s">
        <v>103</v>
      </c>
      <c r="AS138" s="5">
        <v>1.0</v>
      </c>
      <c r="AT138" s="3" t="s">
        <v>1667</v>
      </c>
      <c r="AU138" s="5" t="s">
        <v>104</v>
      </c>
      <c r="AV138" s="5">
        <v>1.0</v>
      </c>
      <c r="AW138" s="3" t="s">
        <v>1883</v>
      </c>
      <c r="AX138" s="5" t="s">
        <v>106</v>
      </c>
      <c r="AY138" s="5">
        <v>0.5</v>
      </c>
      <c r="AZ138" s="3" t="s">
        <v>1884</v>
      </c>
      <c r="BA138" s="5" t="s">
        <v>108</v>
      </c>
      <c r="BB138" s="5">
        <v>0.5</v>
      </c>
      <c r="BC138" s="3" t="s">
        <v>109</v>
      </c>
      <c r="BD138" s="5" t="s">
        <v>110</v>
      </c>
      <c r="BE138" s="3">
        <v>1.0</v>
      </c>
      <c r="BF138" s="3" t="s">
        <v>1820</v>
      </c>
      <c r="BG138" s="5" t="s">
        <v>112</v>
      </c>
      <c r="BH138" s="5">
        <v>0.0</v>
      </c>
      <c r="BI138" s="3" t="s">
        <v>105</v>
      </c>
      <c r="BJ138" s="5" t="s">
        <v>114</v>
      </c>
      <c r="BK138" s="5">
        <v>1.0</v>
      </c>
      <c r="BL138" s="3" t="s">
        <v>1885</v>
      </c>
      <c r="BM138" s="5" t="s">
        <v>116</v>
      </c>
      <c r="BN138" s="5">
        <v>1.0</v>
      </c>
      <c r="BO138" s="3" t="s">
        <v>117</v>
      </c>
      <c r="BP138" s="3"/>
      <c r="BQ138" s="3">
        <v>1.0</v>
      </c>
      <c r="BR138" s="3" t="s">
        <v>181</v>
      </c>
      <c r="BS138" s="5" t="s">
        <v>119</v>
      </c>
      <c r="BT138" s="5">
        <v>1.0</v>
      </c>
      <c r="BU138" s="3" t="s">
        <v>1886</v>
      </c>
      <c r="BV138" s="5" t="s">
        <v>121</v>
      </c>
      <c r="BW138" s="5">
        <v>0.5</v>
      </c>
      <c r="BX138" s="3" t="s">
        <v>1887</v>
      </c>
      <c r="BY138" s="5" t="s">
        <v>123</v>
      </c>
      <c r="BZ138" s="5">
        <v>0.75</v>
      </c>
      <c r="CA138" s="3" t="s">
        <v>97</v>
      </c>
      <c r="CB138" s="3" t="s">
        <v>1888</v>
      </c>
      <c r="CC138" s="3" t="s">
        <v>97</v>
      </c>
      <c r="CD138" s="3" t="s">
        <v>125</v>
      </c>
      <c r="CE138" s="3" t="s">
        <v>1854</v>
      </c>
      <c r="CF138" s="3" t="s">
        <v>97</v>
      </c>
      <c r="CG138" s="3" t="s">
        <v>1889</v>
      </c>
      <c r="CH138" s="3">
        <v>5.0</v>
      </c>
    </row>
    <row r="139" ht="14.25" customHeight="1">
      <c r="A139" s="3">
        <v>44756.9900284375</v>
      </c>
      <c r="B139" s="3" t="s">
        <v>86</v>
      </c>
      <c r="C139" s="3">
        <f t="shared" si="1"/>
        <v>1</v>
      </c>
      <c r="D139" s="3" t="s">
        <v>128</v>
      </c>
      <c r="E139" s="3" t="s">
        <v>129</v>
      </c>
      <c r="F139" s="3">
        <f t="shared" si="2"/>
        <v>3</v>
      </c>
      <c r="G139" s="3" t="s">
        <v>130</v>
      </c>
      <c r="H139" s="3" t="s">
        <v>90</v>
      </c>
      <c r="I139" s="3">
        <v>4.0</v>
      </c>
      <c r="J139" s="3" t="s">
        <v>317</v>
      </c>
      <c r="K139" s="3">
        <f t="shared" si="3"/>
        <v>2</v>
      </c>
      <c r="L139" s="3" t="s">
        <v>92</v>
      </c>
      <c r="M139" s="3">
        <f t="shared" si="4"/>
        <v>1</v>
      </c>
      <c r="N139" s="4"/>
      <c r="O139" s="3" t="s">
        <v>766</v>
      </c>
      <c r="P139" s="3" t="s">
        <v>1890</v>
      </c>
      <c r="Q139" s="3">
        <v>0.0</v>
      </c>
      <c r="R139" s="3">
        <v>0.0</v>
      </c>
      <c r="S139" s="3">
        <v>1.0</v>
      </c>
      <c r="T139" s="3">
        <v>0.0</v>
      </c>
      <c r="U139" s="3">
        <v>0.0</v>
      </c>
      <c r="V139" s="3">
        <v>1.0</v>
      </c>
      <c r="W139" s="3">
        <v>1.0</v>
      </c>
      <c r="X139" s="3">
        <v>0.0</v>
      </c>
      <c r="Y139" s="3">
        <v>0.0</v>
      </c>
      <c r="Z139" s="3">
        <v>0.0</v>
      </c>
      <c r="AA139" s="3">
        <v>0.0</v>
      </c>
      <c r="AB139" s="3">
        <v>0.0</v>
      </c>
      <c r="AC139" s="3">
        <v>0.0</v>
      </c>
      <c r="AD139" s="3" t="s">
        <v>1891</v>
      </c>
      <c r="AE139" s="5" t="s">
        <v>96</v>
      </c>
      <c r="AF139" s="5">
        <v>0.5</v>
      </c>
      <c r="AG139" s="3" t="s">
        <v>97</v>
      </c>
      <c r="AH139" s="3">
        <v>1.0</v>
      </c>
      <c r="AI139" s="3" t="s">
        <v>1892</v>
      </c>
      <c r="AJ139" s="5" t="s">
        <v>99</v>
      </c>
      <c r="AK139" s="5">
        <v>1.0</v>
      </c>
      <c r="AL139" s="3" t="s">
        <v>1893</v>
      </c>
      <c r="AM139" s="5" t="s">
        <v>101</v>
      </c>
      <c r="AN139" s="5">
        <v>0.75</v>
      </c>
      <c r="AO139" s="3" t="s">
        <v>97</v>
      </c>
      <c r="AP139" s="3">
        <v>1.0</v>
      </c>
      <c r="AQ139" s="3" t="s">
        <v>1894</v>
      </c>
      <c r="AR139" s="5" t="s">
        <v>103</v>
      </c>
      <c r="AS139" s="3">
        <v>1.0</v>
      </c>
      <c r="AT139" s="3" t="s">
        <v>848</v>
      </c>
      <c r="AU139" s="5" t="s">
        <v>104</v>
      </c>
      <c r="AV139" s="5">
        <v>1.0</v>
      </c>
      <c r="AW139" s="3" t="s">
        <v>105</v>
      </c>
      <c r="AX139" s="5" t="s">
        <v>106</v>
      </c>
      <c r="AY139" s="5">
        <v>0.0</v>
      </c>
      <c r="AZ139" s="3" t="s">
        <v>1895</v>
      </c>
      <c r="BA139" s="5" t="s">
        <v>108</v>
      </c>
      <c r="BB139" s="5">
        <v>0.75</v>
      </c>
      <c r="BC139" s="3" t="s">
        <v>109</v>
      </c>
      <c r="BD139" s="5" t="s">
        <v>110</v>
      </c>
      <c r="BE139" s="3">
        <v>1.0</v>
      </c>
      <c r="BF139" s="3" t="s">
        <v>1896</v>
      </c>
      <c r="BG139" s="5" t="s">
        <v>112</v>
      </c>
      <c r="BH139" s="5">
        <v>0.75</v>
      </c>
      <c r="BI139" s="3" t="s">
        <v>105</v>
      </c>
      <c r="BJ139" s="5" t="s">
        <v>114</v>
      </c>
      <c r="BK139" s="5">
        <v>1.0</v>
      </c>
      <c r="BL139" s="3" t="s">
        <v>574</v>
      </c>
      <c r="BM139" s="5" t="s">
        <v>116</v>
      </c>
      <c r="BN139" s="5">
        <v>0.75</v>
      </c>
      <c r="BO139" s="3" t="s">
        <v>117</v>
      </c>
      <c r="BP139" s="3"/>
      <c r="BQ139" s="3">
        <v>1.0</v>
      </c>
      <c r="BR139" s="3" t="s">
        <v>161</v>
      </c>
      <c r="BS139" s="5" t="s">
        <v>119</v>
      </c>
      <c r="BT139" s="5">
        <v>1.0</v>
      </c>
      <c r="BU139" s="3" t="s">
        <v>1897</v>
      </c>
      <c r="BV139" s="5" t="s">
        <v>121</v>
      </c>
      <c r="BW139" s="5">
        <v>0.75</v>
      </c>
      <c r="BX139" s="3" t="s">
        <v>1898</v>
      </c>
      <c r="BY139" s="5" t="s">
        <v>123</v>
      </c>
      <c r="BZ139" s="5">
        <v>0.75</v>
      </c>
      <c r="CA139" s="3" t="s">
        <v>97</v>
      </c>
      <c r="CB139" s="3" t="s">
        <v>1899</v>
      </c>
      <c r="CC139" s="3" t="s">
        <v>97</v>
      </c>
      <c r="CD139" s="3" t="s">
        <v>125</v>
      </c>
      <c r="CE139" s="3" t="s">
        <v>1900</v>
      </c>
      <c r="CF139" s="3" t="s">
        <v>97</v>
      </c>
      <c r="CG139" s="3" t="s">
        <v>1901</v>
      </c>
      <c r="CH139" s="3">
        <v>6.0</v>
      </c>
    </row>
    <row r="140" ht="14.25" customHeight="1">
      <c r="A140" s="3">
        <v>44764.2604471412</v>
      </c>
      <c r="B140" s="3" t="s">
        <v>149</v>
      </c>
      <c r="C140" s="3">
        <f t="shared" si="1"/>
        <v>0</v>
      </c>
      <c r="D140" s="3" t="s">
        <v>128</v>
      </c>
      <c r="E140" s="3" t="s">
        <v>129</v>
      </c>
      <c r="F140" s="3">
        <f t="shared" si="2"/>
        <v>3</v>
      </c>
      <c r="G140" s="3" t="s">
        <v>1692</v>
      </c>
      <c r="H140" s="3" t="s">
        <v>1902</v>
      </c>
      <c r="I140" s="3">
        <v>4.0</v>
      </c>
      <c r="J140" s="3" t="s">
        <v>317</v>
      </c>
      <c r="K140" s="3">
        <f t="shared" si="3"/>
        <v>2</v>
      </c>
      <c r="L140" s="3" t="s">
        <v>92</v>
      </c>
      <c r="M140" s="3">
        <f t="shared" si="4"/>
        <v>1</v>
      </c>
      <c r="N140" s="4"/>
      <c r="O140" s="3" t="s">
        <v>766</v>
      </c>
      <c r="P140" s="3" t="s">
        <v>94</v>
      </c>
      <c r="Q140" s="3">
        <v>0.0</v>
      </c>
      <c r="R140" s="3">
        <v>0.0</v>
      </c>
      <c r="S140" s="3">
        <v>0.0</v>
      </c>
      <c r="T140" s="3">
        <v>0.0</v>
      </c>
      <c r="U140" s="3">
        <v>0.0</v>
      </c>
      <c r="V140" s="3">
        <v>0.0</v>
      </c>
      <c r="W140" s="3">
        <v>0.0</v>
      </c>
      <c r="X140" s="3">
        <v>0.0</v>
      </c>
      <c r="Y140" s="3">
        <v>0.0</v>
      </c>
      <c r="Z140" s="3">
        <v>0.0</v>
      </c>
      <c r="AA140" s="3">
        <v>1.0</v>
      </c>
      <c r="AB140" s="3">
        <v>0.0</v>
      </c>
      <c r="AC140" s="3">
        <v>0.0</v>
      </c>
      <c r="AD140" s="3" t="s">
        <v>1903</v>
      </c>
      <c r="AE140" s="5" t="s">
        <v>96</v>
      </c>
      <c r="AF140" s="5">
        <v>0.5</v>
      </c>
      <c r="AG140" s="3" t="s">
        <v>97</v>
      </c>
      <c r="AH140" s="3">
        <v>1.0</v>
      </c>
      <c r="AI140" s="3" t="s">
        <v>807</v>
      </c>
      <c r="AJ140" s="5" t="s">
        <v>99</v>
      </c>
      <c r="AK140" s="5">
        <v>1.0</v>
      </c>
      <c r="AL140" s="3" t="s">
        <v>756</v>
      </c>
      <c r="AM140" s="5" t="s">
        <v>101</v>
      </c>
      <c r="AN140" s="5">
        <v>0.5</v>
      </c>
      <c r="AO140" s="3" t="s">
        <v>97</v>
      </c>
      <c r="AP140" s="3">
        <v>1.0</v>
      </c>
      <c r="AQ140" s="3" t="s">
        <v>1904</v>
      </c>
      <c r="AR140" s="5" t="s">
        <v>103</v>
      </c>
      <c r="AS140" s="3">
        <v>1.0</v>
      </c>
      <c r="AT140" s="3" t="s">
        <v>848</v>
      </c>
      <c r="AU140" s="5" t="s">
        <v>104</v>
      </c>
      <c r="AV140" s="5">
        <v>1.0</v>
      </c>
      <c r="AW140" s="3" t="s">
        <v>1905</v>
      </c>
      <c r="AX140" s="5" t="s">
        <v>106</v>
      </c>
      <c r="AY140" s="5">
        <v>0.5</v>
      </c>
      <c r="AZ140" s="3" t="s">
        <v>1906</v>
      </c>
      <c r="BA140" s="5" t="s">
        <v>108</v>
      </c>
      <c r="BB140" s="5">
        <v>0.75</v>
      </c>
      <c r="BC140" s="3" t="s">
        <v>109</v>
      </c>
      <c r="BD140" s="5" t="s">
        <v>110</v>
      </c>
      <c r="BE140" s="3">
        <v>1.0</v>
      </c>
      <c r="BF140" s="3" t="s">
        <v>1907</v>
      </c>
      <c r="BG140" s="5" t="s">
        <v>112</v>
      </c>
      <c r="BH140" s="5">
        <v>0.0</v>
      </c>
      <c r="BI140" s="3" t="s">
        <v>105</v>
      </c>
      <c r="BJ140" s="5" t="s">
        <v>114</v>
      </c>
      <c r="BK140" s="5">
        <v>1.0</v>
      </c>
      <c r="BL140" s="3" t="s">
        <v>115</v>
      </c>
      <c r="BM140" s="5" t="s">
        <v>116</v>
      </c>
      <c r="BN140" s="5">
        <v>0.25</v>
      </c>
      <c r="BO140" s="3" t="s">
        <v>211</v>
      </c>
      <c r="BP140" s="3"/>
      <c r="BQ140" s="3">
        <v>1.0</v>
      </c>
      <c r="BR140" s="3" t="s">
        <v>311</v>
      </c>
      <c r="BS140" s="5" t="s">
        <v>119</v>
      </c>
      <c r="BT140" s="5">
        <v>0.5</v>
      </c>
      <c r="BU140" s="3" t="s">
        <v>1908</v>
      </c>
      <c r="BV140" s="5" t="s">
        <v>121</v>
      </c>
      <c r="BW140" s="5">
        <v>0.5</v>
      </c>
      <c r="BX140" s="3" t="s">
        <v>1174</v>
      </c>
      <c r="BY140" s="5" t="s">
        <v>123</v>
      </c>
      <c r="BZ140" s="5">
        <v>0.5</v>
      </c>
      <c r="CA140" s="3" t="s">
        <v>97</v>
      </c>
      <c r="CB140" s="3" t="s">
        <v>1909</v>
      </c>
      <c r="CC140" s="3" t="s">
        <v>97</v>
      </c>
      <c r="CD140" s="3" t="s">
        <v>125</v>
      </c>
      <c r="CE140" s="3" t="s">
        <v>105</v>
      </c>
      <c r="CF140" s="3" t="s">
        <v>97</v>
      </c>
      <c r="CG140" s="3" t="s">
        <v>1910</v>
      </c>
      <c r="CH140" s="3">
        <v>6.0</v>
      </c>
    </row>
    <row r="141" ht="14.25" customHeight="1">
      <c r="A141" s="3">
        <v>44764.2796075463</v>
      </c>
      <c r="B141" s="3" t="s">
        <v>149</v>
      </c>
      <c r="C141" s="3">
        <f t="shared" si="1"/>
        <v>0</v>
      </c>
      <c r="D141" s="3" t="s">
        <v>128</v>
      </c>
      <c r="E141" s="3" t="s">
        <v>129</v>
      </c>
      <c r="F141" s="3">
        <f t="shared" si="2"/>
        <v>3</v>
      </c>
      <c r="G141" s="3" t="s">
        <v>1911</v>
      </c>
      <c r="H141" s="3" t="s">
        <v>1912</v>
      </c>
      <c r="I141" s="3">
        <v>3.0</v>
      </c>
      <c r="J141" s="3" t="s">
        <v>317</v>
      </c>
      <c r="K141" s="3">
        <f t="shared" si="3"/>
        <v>2</v>
      </c>
      <c r="L141" s="3" t="s">
        <v>92</v>
      </c>
      <c r="M141" s="3">
        <f t="shared" si="4"/>
        <v>1</v>
      </c>
      <c r="N141" s="4"/>
      <c r="O141" s="3" t="s">
        <v>766</v>
      </c>
      <c r="P141" s="3" t="s">
        <v>753</v>
      </c>
      <c r="Q141" s="3">
        <v>0.0</v>
      </c>
      <c r="R141" s="3">
        <v>0.0</v>
      </c>
      <c r="S141" s="3">
        <v>0.0</v>
      </c>
      <c r="T141" s="3">
        <v>0.0</v>
      </c>
      <c r="U141" s="3">
        <v>0.0</v>
      </c>
      <c r="V141" s="3">
        <v>1.0</v>
      </c>
      <c r="W141" s="3">
        <v>0.0</v>
      </c>
      <c r="X141" s="3">
        <v>0.0</v>
      </c>
      <c r="Y141" s="3">
        <v>0.0</v>
      </c>
      <c r="Z141" s="3">
        <v>0.0</v>
      </c>
      <c r="AA141" s="3">
        <v>0.0</v>
      </c>
      <c r="AB141" s="3">
        <v>0.0</v>
      </c>
      <c r="AC141" s="3">
        <v>0.0</v>
      </c>
      <c r="AD141" s="3" t="s">
        <v>1913</v>
      </c>
      <c r="AE141" s="5" t="s">
        <v>96</v>
      </c>
      <c r="AF141" s="5">
        <v>0.5</v>
      </c>
      <c r="AG141" s="3" t="s">
        <v>97</v>
      </c>
      <c r="AH141" s="3">
        <v>1.0</v>
      </c>
      <c r="AI141" s="3" t="s">
        <v>768</v>
      </c>
      <c r="AJ141" s="5" t="s">
        <v>99</v>
      </c>
      <c r="AK141" s="5">
        <v>1.0</v>
      </c>
      <c r="AL141" s="3" t="s">
        <v>1914</v>
      </c>
      <c r="AM141" s="5" t="s">
        <v>101</v>
      </c>
      <c r="AN141" s="5">
        <v>0.75</v>
      </c>
      <c r="AO141" s="3" t="s">
        <v>97</v>
      </c>
      <c r="AP141" s="3">
        <v>1.0</v>
      </c>
      <c r="AQ141" s="3" t="s">
        <v>1915</v>
      </c>
      <c r="AR141" s="5" t="s">
        <v>103</v>
      </c>
      <c r="AS141" s="3">
        <v>1.0</v>
      </c>
      <c r="AT141" s="3" t="s">
        <v>94</v>
      </c>
      <c r="AU141" s="5" t="s">
        <v>104</v>
      </c>
      <c r="AV141" s="5">
        <v>1.0</v>
      </c>
      <c r="AW141" s="3" t="s">
        <v>105</v>
      </c>
      <c r="AX141" s="5" t="s">
        <v>106</v>
      </c>
      <c r="AY141" s="5">
        <v>0.0</v>
      </c>
      <c r="AZ141" s="3" t="s">
        <v>1916</v>
      </c>
      <c r="BA141" s="5" t="s">
        <v>108</v>
      </c>
      <c r="BB141" s="5">
        <v>0.75</v>
      </c>
      <c r="BC141" s="3" t="s">
        <v>109</v>
      </c>
      <c r="BD141" s="5" t="s">
        <v>110</v>
      </c>
      <c r="BE141" s="3">
        <v>1.0</v>
      </c>
      <c r="BF141" s="3" t="s">
        <v>1917</v>
      </c>
      <c r="BG141" s="5" t="s">
        <v>112</v>
      </c>
      <c r="BH141" s="5">
        <v>0.0</v>
      </c>
      <c r="BI141" s="3" t="s">
        <v>1918</v>
      </c>
      <c r="BJ141" s="5" t="s">
        <v>114</v>
      </c>
      <c r="BK141" s="5">
        <v>1.0</v>
      </c>
      <c r="BL141" s="3" t="s">
        <v>457</v>
      </c>
      <c r="BM141" s="5" t="s">
        <v>116</v>
      </c>
      <c r="BN141" s="5">
        <v>0.75</v>
      </c>
      <c r="BO141" s="3" t="s">
        <v>160</v>
      </c>
      <c r="BP141" s="3"/>
      <c r="BQ141" s="3">
        <v>0.0</v>
      </c>
      <c r="BR141" s="3" t="s">
        <v>227</v>
      </c>
      <c r="BS141" s="5" t="s">
        <v>119</v>
      </c>
      <c r="BT141" s="5">
        <v>0.5</v>
      </c>
      <c r="BU141" s="3" t="s">
        <v>1919</v>
      </c>
      <c r="BV141" s="5" t="s">
        <v>121</v>
      </c>
      <c r="BW141" s="5">
        <v>0.5</v>
      </c>
      <c r="BX141" s="3" t="s">
        <v>1802</v>
      </c>
      <c r="BY141" s="5" t="s">
        <v>123</v>
      </c>
      <c r="BZ141" s="5">
        <v>0.5</v>
      </c>
      <c r="CA141" s="3" t="s">
        <v>97</v>
      </c>
      <c r="CB141" s="3" t="s">
        <v>1920</v>
      </c>
      <c r="CC141" s="3" t="s">
        <v>97</v>
      </c>
      <c r="CD141" s="3" t="s">
        <v>1675</v>
      </c>
      <c r="CE141" s="3" t="s">
        <v>1921</v>
      </c>
      <c r="CF141" s="3" t="s">
        <v>97</v>
      </c>
      <c r="CG141" s="3" t="s">
        <v>1922</v>
      </c>
      <c r="CH141" s="3">
        <v>5.0</v>
      </c>
    </row>
    <row r="142" ht="14.25" customHeight="1">
      <c r="A142" s="3">
        <v>44765.2491064815</v>
      </c>
      <c r="B142" s="3" t="s">
        <v>149</v>
      </c>
      <c r="C142" s="3">
        <f t="shared" si="1"/>
        <v>0</v>
      </c>
      <c r="D142" s="3" t="s">
        <v>169</v>
      </c>
      <c r="E142" s="3" t="s">
        <v>170</v>
      </c>
      <c r="F142" s="3">
        <f t="shared" si="2"/>
        <v>2</v>
      </c>
      <c r="G142" s="3" t="s">
        <v>881</v>
      </c>
      <c r="H142" s="3" t="s">
        <v>1923</v>
      </c>
      <c r="I142" s="3">
        <v>3.0</v>
      </c>
      <c r="J142" s="3" t="s">
        <v>317</v>
      </c>
      <c r="K142" s="3">
        <f t="shared" si="3"/>
        <v>2</v>
      </c>
      <c r="L142" s="3" t="s">
        <v>92</v>
      </c>
      <c r="M142" s="3">
        <f t="shared" si="4"/>
        <v>1</v>
      </c>
      <c r="N142" s="4"/>
      <c r="O142" s="3" t="s">
        <v>766</v>
      </c>
      <c r="P142" s="3" t="s">
        <v>1924</v>
      </c>
      <c r="Q142" s="3">
        <v>1.0</v>
      </c>
      <c r="R142" s="3">
        <v>0.0</v>
      </c>
      <c r="S142" s="3">
        <v>0.0</v>
      </c>
      <c r="T142" s="3">
        <v>1.0</v>
      </c>
      <c r="U142" s="3">
        <v>1.0</v>
      </c>
      <c r="V142" s="3">
        <v>1.0</v>
      </c>
      <c r="W142" s="3">
        <v>1.0</v>
      </c>
      <c r="X142" s="3">
        <v>1.0</v>
      </c>
      <c r="Y142" s="3">
        <v>0.0</v>
      </c>
      <c r="Z142" s="3">
        <v>0.0</v>
      </c>
      <c r="AA142" s="3">
        <v>0.0</v>
      </c>
      <c r="AB142" s="3">
        <v>0.0</v>
      </c>
      <c r="AC142" s="3">
        <v>0.0</v>
      </c>
      <c r="AD142" s="3" t="s">
        <v>1845</v>
      </c>
      <c r="AE142" s="5" t="s">
        <v>96</v>
      </c>
      <c r="AF142" s="5">
        <v>0.25</v>
      </c>
      <c r="AG142" s="3" t="s">
        <v>97</v>
      </c>
      <c r="AH142" s="3">
        <v>1.0</v>
      </c>
      <c r="AI142" s="3" t="s">
        <v>1925</v>
      </c>
      <c r="AJ142" s="5" t="s">
        <v>99</v>
      </c>
      <c r="AK142" s="5">
        <v>1.0</v>
      </c>
      <c r="AL142" s="3" t="s">
        <v>1926</v>
      </c>
      <c r="AM142" s="5" t="s">
        <v>101</v>
      </c>
      <c r="AN142" s="5">
        <v>0.25</v>
      </c>
      <c r="AO142" s="3" t="s">
        <v>97</v>
      </c>
      <c r="AP142" s="3">
        <v>1.0</v>
      </c>
      <c r="AQ142" s="3" t="s">
        <v>1927</v>
      </c>
      <c r="AR142" s="5" t="s">
        <v>103</v>
      </c>
      <c r="AS142" s="3">
        <v>1.0</v>
      </c>
      <c r="AT142" s="3" t="s">
        <v>94</v>
      </c>
      <c r="AU142" s="5" t="s">
        <v>104</v>
      </c>
      <c r="AV142" s="5">
        <v>1.0</v>
      </c>
      <c r="AW142" s="3" t="s">
        <v>1928</v>
      </c>
      <c r="AX142" s="5" t="s">
        <v>106</v>
      </c>
      <c r="AY142" s="5">
        <v>0.5</v>
      </c>
      <c r="AZ142" s="3" t="s">
        <v>1906</v>
      </c>
      <c r="BA142" s="5" t="s">
        <v>108</v>
      </c>
      <c r="BB142" s="5">
        <v>0.75</v>
      </c>
      <c r="BC142" s="3" t="s">
        <v>109</v>
      </c>
      <c r="BD142" s="5" t="s">
        <v>110</v>
      </c>
      <c r="BE142" s="3">
        <v>1.0</v>
      </c>
      <c r="BF142" s="3" t="s">
        <v>1929</v>
      </c>
      <c r="BG142" s="5" t="s">
        <v>112</v>
      </c>
      <c r="BH142" s="5">
        <v>0.5</v>
      </c>
      <c r="BI142" s="3" t="s">
        <v>105</v>
      </c>
      <c r="BJ142" s="5" t="s">
        <v>114</v>
      </c>
      <c r="BK142" s="5">
        <v>1.0</v>
      </c>
      <c r="BL142" s="3" t="s">
        <v>457</v>
      </c>
      <c r="BM142" s="5" t="s">
        <v>116</v>
      </c>
      <c r="BN142" s="5">
        <v>1.0</v>
      </c>
      <c r="BO142" s="3" t="s">
        <v>117</v>
      </c>
      <c r="BP142" s="3"/>
      <c r="BQ142" s="3">
        <v>1.0</v>
      </c>
      <c r="BR142" s="3" t="s">
        <v>297</v>
      </c>
      <c r="BS142" s="5" t="s">
        <v>119</v>
      </c>
      <c r="BT142" s="5">
        <v>0.5</v>
      </c>
      <c r="BU142" s="3" t="s">
        <v>1930</v>
      </c>
      <c r="BV142" s="5" t="s">
        <v>121</v>
      </c>
      <c r="BW142" s="5">
        <v>0.25</v>
      </c>
      <c r="BX142" s="3" t="s">
        <v>1753</v>
      </c>
      <c r="BY142" s="5" t="s">
        <v>123</v>
      </c>
      <c r="BZ142" s="5">
        <v>0.5</v>
      </c>
      <c r="CA142" s="3" t="s">
        <v>97</v>
      </c>
      <c r="CB142" s="3" t="s">
        <v>1931</v>
      </c>
      <c r="CC142" s="3" t="s">
        <v>97</v>
      </c>
      <c r="CD142" s="3" t="s">
        <v>125</v>
      </c>
      <c r="CE142" s="3" t="s">
        <v>1932</v>
      </c>
      <c r="CF142" s="3" t="s">
        <v>97</v>
      </c>
      <c r="CG142" s="3" t="s">
        <v>1933</v>
      </c>
      <c r="CH142" s="3">
        <v>7.0</v>
      </c>
    </row>
    <row r="143" ht="14.25" customHeight="1">
      <c r="A143" s="3">
        <v>44785.3374169213</v>
      </c>
      <c r="B143" s="3" t="s">
        <v>86</v>
      </c>
      <c r="C143" s="3">
        <f t="shared" si="1"/>
        <v>1</v>
      </c>
      <c r="D143" s="3" t="s">
        <v>169</v>
      </c>
      <c r="E143" s="3" t="s">
        <v>170</v>
      </c>
      <c r="F143" s="3">
        <f t="shared" si="2"/>
        <v>2</v>
      </c>
      <c r="G143" s="3" t="s">
        <v>130</v>
      </c>
      <c r="H143" s="3" t="s">
        <v>259</v>
      </c>
      <c r="I143" s="3">
        <v>1.0</v>
      </c>
      <c r="J143" s="3" t="s">
        <v>317</v>
      </c>
      <c r="K143" s="3">
        <f t="shared" si="3"/>
        <v>2</v>
      </c>
      <c r="L143" s="3" t="s">
        <v>92</v>
      </c>
      <c r="M143" s="3">
        <f t="shared" si="4"/>
        <v>1</v>
      </c>
      <c r="N143" s="4"/>
      <c r="O143" s="3" t="s">
        <v>766</v>
      </c>
      <c r="P143" s="3" t="s">
        <v>1934</v>
      </c>
      <c r="Q143" s="3">
        <v>1.0</v>
      </c>
      <c r="R143" s="3">
        <v>1.0</v>
      </c>
      <c r="S143" s="3">
        <v>1.0</v>
      </c>
      <c r="T143" s="3">
        <v>0.0</v>
      </c>
      <c r="U143" s="3">
        <v>0.0</v>
      </c>
      <c r="V143" s="3">
        <v>1.0</v>
      </c>
      <c r="W143" s="3">
        <v>1.0</v>
      </c>
      <c r="X143" s="3">
        <v>1.0</v>
      </c>
      <c r="Y143" s="3">
        <v>1.0</v>
      </c>
      <c r="Z143" s="3">
        <v>1.0</v>
      </c>
      <c r="AA143" s="3">
        <v>0.0</v>
      </c>
      <c r="AB143" s="3">
        <v>0.0</v>
      </c>
      <c r="AC143" s="3">
        <v>0.0</v>
      </c>
      <c r="AD143" s="3" t="s">
        <v>1935</v>
      </c>
      <c r="AE143" s="5" t="s">
        <v>96</v>
      </c>
      <c r="AF143" s="5">
        <v>0.5</v>
      </c>
      <c r="AG143" s="3" t="s">
        <v>97</v>
      </c>
      <c r="AH143" s="3">
        <v>1.0</v>
      </c>
      <c r="AI143" s="3" t="s">
        <v>1383</v>
      </c>
      <c r="AJ143" s="5" t="s">
        <v>99</v>
      </c>
      <c r="AK143" s="5">
        <v>1.0</v>
      </c>
      <c r="AL143" s="3" t="s">
        <v>1936</v>
      </c>
      <c r="AM143" s="5" t="s">
        <v>101</v>
      </c>
      <c r="AN143" s="5">
        <v>1.0</v>
      </c>
      <c r="AO143" s="3" t="s">
        <v>97</v>
      </c>
      <c r="AP143" s="3">
        <v>1.0</v>
      </c>
      <c r="AQ143" s="3" t="s">
        <v>1937</v>
      </c>
      <c r="AR143" s="5" t="s">
        <v>103</v>
      </c>
      <c r="AS143" s="3">
        <v>1.0</v>
      </c>
      <c r="AT143" s="3" t="s">
        <v>848</v>
      </c>
      <c r="AU143" s="5" t="s">
        <v>104</v>
      </c>
      <c r="AV143" s="5">
        <v>1.0</v>
      </c>
      <c r="AW143" s="3" t="s">
        <v>1021</v>
      </c>
      <c r="AX143" s="5" t="s">
        <v>106</v>
      </c>
      <c r="AY143" s="5">
        <v>0.0</v>
      </c>
      <c r="AZ143" s="3" t="s">
        <v>1938</v>
      </c>
      <c r="BA143" s="5" t="s">
        <v>108</v>
      </c>
      <c r="BB143" s="5">
        <v>0.75</v>
      </c>
      <c r="BC143" s="3" t="s">
        <v>109</v>
      </c>
      <c r="BD143" s="5" t="s">
        <v>110</v>
      </c>
      <c r="BE143" s="3">
        <v>1.0</v>
      </c>
      <c r="BF143" s="3" t="s">
        <v>1939</v>
      </c>
      <c r="BG143" s="5" t="s">
        <v>112</v>
      </c>
      <c r="BH143" s="5">
        <v>0.0</v>
      </c>
      <c r="BI143" s="3" t="s">
        <v>1940</v>
      </c>
      <c r="BJ143" s="5" t="s">
        <v>114</v>
      </c>
      <c r="BK143" s="5">
        <v>0.0</v>
      </c>
      <c r="BL143" s="3" t="s">
        <v>115</v>
      </c>
      <c r="BM143" s="5" t="s">
        <v>116</v>
      </c>
      <c r="BN143" s="5">
        <v>0.25</v>
      </c>
      <c r="BO143" s="3" t="s">
        <v>160</v>
      </c>
      <c r="BP143" s="3"/>
      <c r="BQ143" s="3">
        <v>0.0</v>
      </c>
      <c r="BR143" s="3" t="s">
        <v>161</v>
      </c>
      <c r="BS143" s="5" t="s">
        <v>119</v>
      </c>
      <c r="BT143" s="5">
        <v>1.0</v>
      </c>
      <c r="BU143" s="3" t="s">
        <v>1941</v>
      </c>
      <c r="BV143" s="5" t="s">
        <v>121</v>
      </c>
      <c r="BW143" s="5">
        <v>0.0</v>
      </c>
      <c r="BX143" s="3" t="s">
        <v>1942</v>
      </c>
      <c r="BY143" s="5" t="s">
        <v>123</v>
      </c>
      <c r="BZ143" s="5">
        <v>0.5</v>
      </c>
      <c r="CA143" s="3" t="s">
        <v>97</v>
      </c>
      <c r="CB143" s="3" t="s">
        <v>1943</v>
      </c>
      <c r="CC143" s="3" t="s">
        <v>97</v>
      </c>
      <c r="CD143" s="3" t="s">
        <v>125</v>
      </c>
      <c r="CE143" s="3" t="s">
        <v>1944</v>
      </c>
      <c r="CF143" s="3" t="s">
        <v>97</v>
      </c>
      <c r="CG143" s="3" t="s">
        <v>1945</v>
      </c>
      <c r="CH143" s="3">
        <v>5.0</v>
      </c>
    </row>
    <row r="144" ht="14.25" customHeight="1">
      <c r="A144" s="3">
        <v>44785.3435167593</v>
      </c>
      <c r="B144" s="3" t="s">
        <v>149</v>
      </c>
      <c r="C144" s="3">
        <f t="shared" si="1"/>
        <v>0</v>
      </c>
      <c r="D144" s="3" t="s">
        <v>169</v>
      </c>
      <c r="E144" s="3" t="s">
        <v>170</v>
      </c>
      <c r="F144" s="3">
        <f t="shared" si="2"/>
        <v>2</v>
      </c>
      <c r="G144" s="3" t="s">
        <v>881</v>
      </c>
      <c r="H144" s="3" t="s">
        <v>395</v>
      </c>
      <c r="I144" s="3">
        <v>2.0</v>
      </c>
      <c r="J144" s="3" t="s">
        <v>317</v>
      </c>
      <c r="K144" s="3">
        <f t="shared" si="3"/>
        <v>2</v>
      </c>
      <c r="L144" s="3" t="s">
        <v>92</v>
      </c>
      <c r="M144" s="3">
        <f t="shared" si="4"/>
        <v>1</v>
      </c>
      <c r="N144" s="4"/>
      <c r="O144" s="3" t="s">
        <v>766</v>
      </c>
      <c r="P144" s="3" t="s">
        <v>725</v>
      </c>
      <c r="Q144" s="3">
        <v>1.0</v>
      </c>
      <c r="R144" s="3">
        <v>0.0</v>
      </c>
      <c r="S144" s="3">
        <v>0.0</v>
      </c>
      <c r="T144" s="3">
        <v>0.0</v>
      </c>
      <c r="U144" s="3">
        <v>0.0</v>
      </c>
      <c r="V144" s="3">
        <v>1.0</v>
      </c>
      <c r="W144" s="3">
        <v>0.0</v>
      </c>
      <c r="X144" s="3">
        <v>0.0</v>
      </c>
      <c r="Y144" s="3">
        <v>0.0</v>
      </c>
      <c r="Z144" s="3">
        <v>0.0</v>
      </c>
      <c r="AA144" s="3">
        <v>0.0</v>
      </c>
      <c r="AB144" s="3">
        <v>0.0</v>
      </c>
      <c r="AC144" s="3">
        <v>0.0</v>
      </c>
      <c r="AD144" s="3" t="s">
        <v>1946</v>
      </c>
      <c r="AE144" s="5" t="s">
        <v>96</v>
      </c>
      <c r="AF144" s="5">
        <v>0.5</v>
      </c>
      <c r="AG144" s="3" t="s">
        <v>97</v>
      </c>
      <c r="AH144" s="3">
        <v>1.0</v>
      </c>
      <c r="AI144" s="3" t="s">
        <v>1383</v>
      </c>
      <c r="AJ144" s="5" t="s">
        <v>99</v>
      </c>
      <c r="AK144" s="5">
        <v>1.0</v>
      </c>
      <c r="AL144" s="3" t="s">
        <v>1947</v>
      </c>
      <c r="AM144" s="5" t="s">
        <v>101</v>
      </c>
      <c r="AN144" s="5">
        <v>0.75</v>
      </c>
      <c r="AO144" s="3" t="s">
        <v>97</v>
      </c>
      <c r="AP144" s="3">
        <v>1.0</v>
      </c>
      <c r="AQ144" s="3">
        <v>1.0</v>
      </c>
      <c r="AR144" s="5" t="s">
        <v>103</v>
      </c>
      <c r="AS144" s="5">
        <v>0.0</v>
      </c>
      <c r="AT144" s="3" t="s">
        <v>94</v>
      </c>
      <c r="AU144" s="5" t="s">
        <v>104</v>
      </c>
      <c r="AV144" s="5">
        <v>1.0</v>
      </c>
      <c r="AW144" s="3" t="s">
        <v>823</v>
      </c>
      <c r="AX144" s="5" t="s">
        <v>106</v>
      </c>
      <c r="AY144" s="5">
        <v>0.0</v>
      </c>
      <c r="AZ144" s="3" t="s">
        <v>223</v>
      </c>
      <c r="BA144" s="5" t="s">
        <v>108</v>
      </c>
      <c r="BB144" s="5">
        <v>0.5</v>
      </c>
      <c r="BC144" s="3" t="s">
        <v>109</v>
      </c>
      <c r="BD144" s="5" t="s">
        <v>110</v>
      </c>
      <c r="BE144" s="3">
        <v>1.0</v>
      </c>
      <c r="BF144" s="3" t="s">
        <v>1948</v>
      </c>
      <c r="BG144" s="5" t="s">
        <v>112</v>
      </c>
      <c r="BH144" s="5">
        <v>0.5</v>
      </c>
      <c r="BI144" s="3" t="s">
        <v>105</v>
      </c>
      <c r="BJ144" s="5" t="s">
        <v>114</v>
      </c>
      <c r="BK144" s="5">
        <v>1.0</v>
      </c>
      <c r="BL144" s="3" t="s">
        <v>115</v>
      </c>
      <c r="BM144" s="5" t="s">
        <v>116</v>
      </c>
      <c r="BN144" s="5">
        <v>0.25</v>
      </c>
      <c r="BO144" s="3" t="s">
        <v>160</v>
      </c>
      <c r="BP144" s="3"/>
      <c r="BQ144" s="3">
        <v>0.0</v>
      </c>
      <c r="BR144" s="3" t="s">
        <v>161</v>
      </c>
      <c r="BS144" s="5" t="s">
        <v>119</v>
      </c>
      <c r="BT144" s="5">
        <v>1.0</v>
      </c>
      <c r="BU144" s="3" t="s">
        <v>1949</v>
      </c>
      <c r="BV144" s="5" t="s">
        <v>121</v>
      </c>
      <c r="BW144" s="5">
        <v>0.0</v>
      </c>
      <c r="BX144" s="3" t="s">
        <v>1950</v>
      </c>
      <c r="BY144" s="5" t="s">
        <v>123</v>
      </c>
      <c r="BZ144" s="5">
        <v>0.5</v>
      </c>
      <c r="CA144" s="3" t="s">
        <v>97</v>
      </c>
      <c r="CB144" s="3" t="s">
        <v>1951</v>
      </c>
      <c r="CC144" s="3" t="s">
        <v>97</v>
      </c>
      <c r="CD144" s="3" t="s">
        <v>125</v>
      </c>
      <c r="CE144" s="3" t="s">
        <v>105</v>
      </c>
      <c r="CF144" s="3" t="s">
        <v>97</v>
      </c>
      <c r="CG144" s="3" t="s">
        <v>1952</v>
      </c>
      <c r="CH144" s="3">
        <v>6.0</v>
      </c>
    </row>
    <row r="145" ht="14.25" customHeight="1">
      <c r="A145" s="3">
        <v>44786.3079018982</v>
      </c>
      <c r="B145" s="3" t="s">
        <v>149</v>
      </c>
      <c r="C145" s="3">
        <f t="shared" si="1"/>
        <v>0</v>
      </c>
      <c r="D145" s="3" t="s">
        <v>169</v>
      </c>
      <c r="E145" s="3" t="s">
        <v>170</v>
      </c>
      <c r="F145" s="3">
        <f t="shared" si="2"/>
        <v>2</v>
      </c>
      <c r="G145" s="3" t="s">
        <v>881</v>
      </c>
      <c r="H145" s="3" t="s">
        <v>1953</v>
      </c>
      <c r="I145" s="3">
        <v>3.0</v>
      </c>
      <c r="J145" s="3" t="s">
        <v>317</v>
      </c>
      <c r="K145" s="3">
        <f t="shared" si="3"/>
        <v>2</v>
      </c>
      <c r="L145" s="3" t="s">
        <v>92</v>
      </c>
      <c r="M145" s="3">
        <f t="shared" si="4"/>
        <v>1</v>
      </c>
      <c r="N145" s="4"/>
      <c r="O145" s="3" t="s">
        <v>766</v>
      </c>
      <c r="P145" s="3" t="s">
        <v>1954</v>
      </c>
      <c r="Q145" s="3">
        <v>0.0</v>
      </c>
      <c r="R145" s="3">
        <v>1.0</v>
      </c>
      <c r="S145" s="3">
        <v>0.0</v>
      </c>
      <c r="T145" s="3">
        <v>0.0</v>
      </c>
      <c r="U145" s="3">
        <v>0.0</v>
      </c>
      <c r="V145" s="3">
        <v>1.0</v>
      </c>
      <c r="W145" s="3">
        <v>1.0</v>
      </c>
      <c r="X145" s="3">
        <v>0.0</v>
      </c>
      <c r="Y145" s="3">
        <v>0.0</v>
      </c>
      <c r="Z145" s="3">
        <v>0.0</v>
      </c>
      <c r="AA145" s="3">
        <v>0.0</v>
      </c>
      <c r="AB145" s="3">
        <v>0.0</v>
      </c>
      <c r="AC145" s="3">
        <v>0.0</v>
      </c>
      <c r="AD145" s="3" t="s">
        <v>1955</v>
      </c>
      <c r="AE145" s="5" t="s">
        <v>96</v>
      </c>
      <c r="AF145" s="5">
        <v>0.25</v>
      </c>
      <c r="AG145" s="3" t="s">
        <v>97</v>
      </c>
      <c r="AH145" s="3">
        <v>1.0</v>
      </c>
      <c r="AI145" s="3" t="s">
        <v>1956</v>
      </c>
      <c r="AJ145" s="5" t="s">
        <v>99</v>
      </c>
      <c r="AK145" s="5">
        <v>1.0</v>
      </c>
      <c r="AL145" s="3" t="s">
        <v>1957</v>
      </c>
      <c r="AM145" s="5" t="s">
        <v>101</v>
      </c>
      <c r="AN145" s="5">
        <v>1.0</v>
      </c>
      <c r="AO145" s="3" t="s">
        <v>97</v>
      </c>
      <c r="AP145" s="3">
        <v>1.0</v>
      </c>
      <c r="AQ145" s="3" t="s">
        <v>1958</v>
      </c>
      <c r="AR145" s="5" t="s">
        <v>103</v>
      </c>
      <c r="AS145" s="3">
        <v>1.0</v>
      </c>
      <c r="AT145" s="3" t="s">
        <v>94</v>
      </c>
      <c r="AU145" s="5" t="s">
        <v>104</v>
      </c>
      <c r="AV145" s="5">
        <v>1.0</v>
      </c>
      <c r="AW145" s="5" t="s">
        <v>1959</v>
      </c>
      <c r="AX145" s="5" t="s">
        <v>106</v>
      </c>
      <c r="AY145" s="5">
        <v>0.0</v>
      </c>
      <c r="AZ145" s="3" t="s">
        <v>1960</v>
      </c>
      <c r="BA145" s="5" t="s">
        <v>108</v>
      </c>
      <c r="BB145" s="5">
        <v>0.75</v>
      </c>
      <c r="BC145" s="3" t="s">
        <v>109</v>
      </c>
      <c r="BD145" s="5" t="s">
        <v>110</v>
      </c>
      <c r="BE145" s="3">
        <v>1.0</v>
      </c>
      <c r="BF145" s="3" t="s">
        <v>1961</v>
      </c>
      <c r="BG145" s="5" t="s">
        <v>112</v>
      </c>
      <c r="BH145" s="5">
        <v>0.0</v>
      </c>
      <c r="BI145" s="3" t="s">
        <v>105</v>
      </c>
      <c r="BJ145" s="5" t="s">
        <v>114</v>
      </c>
      <c r="BK145" s="5">
        <v>1.0</v>
      </c>
      <c r="BL145" s="3" t="s">
        <v>457</v>
      </c>
      <c r="BM145" s="5" t="s">
        <v>116</v>
      </c>
      <c r="BN145" s="5">
        <v>1.0</v>
      </c>
      <c r="BO145" s="3" t="s">
        <v>160</v>
      </c>
      <c r="BP145" s="3"/>
      <c r="BQ145" s="3">
        <v>0.0</v>
      </c>
      <c r="BR145" s="3" t="s">
        <v>161</v>
      </c>
      <c r="BS145" s="5" t="s">
        <v>119</v>
      </c>
      <c r="BT145" s="5">
        <v>1.0</v>
      </c>
      <c r="BU145" s="3" t="s">
        <v>1962</v>
      </c>
      <c r="BV145" s="5" t="s">
        <v>121</v>
      </c>
      <c r="BW145" s="5">
        <v>0.25</v>
      </c>
      <c r="BX145" s="3" t="s">
        <v>1963</v>
      </c>
      <c r="BY145" s="5" t="s">
        <v>123</v>
      </c>
      <c r="BZ145" s="5">
        <v>0.5</v>
      </c>
      <c r="CA145" s="3" t="s">
        <v>97</v>
      </c>
      <c r="CB145" s="3" t="s">
        <v>1964</v>
      </c>
      <c r="CC145" s="3" t="s">
        <v>97</v>
      </c>
      <c r="CD145" s="3" t="s">
        <v>125</v>
      </c>
      <c r="CE145" s="3" t="s">
        <v>823</v>
      </c>
      <c r="CF145" s="3" t="s">
        <v>97</v>
      </c>
      <c r="CG145" s="3" t="s">
        <v>1965</v>
      </c>
      <c r="CH145" s="3">
        <v>6.0</v>
      </c>
    </row>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2023-01-17T20:49:05Z</dcterms:created>
  <dc:creator>Hannah Günther</dc:creator>
</cp:coreProperties>
</file>